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defaultThemeVersion="124226"/>
  <mc:AlternateContent xmlns:mc="http://schemas.openxmlformats.org/markup-compatibility/2006">
    <mc:Choice Requires="x15">
      <x15ac:absPath xmlns:x15ac="http://schemas.microsoft.com/office/spreadsheetml/2010/11/ac" url="https://fortive.sharepoint.com/sites/ILX-customer_engagement/Shared Documents/02. All Customer Folders/I/Impala Terminals Switzerland SARL/HSE/2. Design Phase/"/>
    </mc:Choice>
  </mc:AlternateContent>
  <xr:revisionPtr revIDLastSave="0" documentId="8_{55E9F91A-BD84-40DB-A9C9-EB74C4F553A0}" xr6:coauthVersionLast="47" xr6:coauthVersionMax="47" xr10:uidLastSave="{00000000-0000-0000-0000-000000000000}"/>
  <bookViews>
    <workbookView xWindow="-23148" yWindow="7740" windowWidth="23256" windowHeight="12456" tabRatio="835" firstSheet="2" activeTab="11" xr2:uid="{00000000-000D-0000-FFFF-FFFF00000000}"/>
  </bookViews>
  <sheets>
    <sheet name="Cover Sheet" sheetId="10" r:id="rId1"/>
    <sheet name="Decisions &amp; Tasks" sheetId="13" r:id="rId2"/>
    <sheet name="Workflow" sheetId="12" r:id="rId3"/>
    <sheet name="Notification Schedules" sheetId="18" r:id="rId4"/>
    <sheet name="Notification Templates" sheetId="4" r:id="rId5"/>
    <sheet name="Location Roles" sheetId="7" r:id="rId6"/>
    <sheet name="Object Model" sheetId="2" r:id="rId7"/>
    <sheet name="Fields" sheetId="15" r:id="rId8"/>
    <sheet name="Lookup Values" sheetId="17" r:id="rId9"/>
    <sheet name="Action Handlers" sheetId="16" state="hidden" r:id="rId10"/>
    <sheet name="Application Tabs" sheetId="11" r:id="rId11"/>
    <sheet name="Security" sheetId="5" r:id="rId12"/>
    <sheet name="ILX Fields" sheetId="21" state="hidden" r:id="rId13"/>
    <sheet name="ILX Hidden" sheetId="19" state="hidden" r:id="rId14"/>
  </sheets>
  <definedNames>
    <definedName name="_xlnm._FilterDatabase" localSheetId="2" hidden="1">Workflow!$A$118:$I$118</definedName>
    <definedName name="ActionTriggers">'ILX Hidden'!$B$72:$B$78</definedName>
    <definedName name="AddRemove">'ILX Hidden'!$C$43:$C$45</definedName>
    <definedName name="LocationBoundOptions">'ILX Hidden'!$B$31:$B$37</definedName>
    <definedName name="MembershipTypes">'ILX Hidden'!$B$23:$B$24</definedName>
    <definedName name="Permissions">'ILX Hidden'!$B$91:$B$96</definedName>
    <definedName name="RoleUses">'ILX Hidden'!$C$23:$C$24</definedName>
    <definedName name="TabTypes">'ILX Hidden'!$B$84:$B$85</definedName>
    <definedName name="TaskDueDates">'ILX Hidden'!$B$15:$B$17</definedName>
    <definedName name="Types">'ILX Hidden'!$B$43:$B$62</definedName>
    <definedName name="YesNo">'ILX Hidden'!$B$8:$B$9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<sst xmlns="http://schemas.openxmlformats.org/spreadsheetml/2006/main" count="6186" uniqueCount="795">
  <si>
    <t>Stage Name</t>
  </si>
  <si>
    <t>Record Status</t>
  </si>
  <si>
    <t>Stage Owner</t>
  </si>
  <si>
    <t>Due Date</t>
  </si>
  <si>
    <t>Comments</t>
  </si>
  <si>
    <t>Workflow Buttons</t>
  </si>
  <si>
    <t>Role Name</t>
  </si>
  <si>
    <t xml:space="preserve">Roll Down Location Hierarchy </t>
  </si>
  <si>
    <t>Recipient(s)</t>
  </si>
  <si>
    <t>Notification Subject Line</t>
  </si>
  <si>
    <t>Email Notification Templates</t>
  </si>
  <si>
    <t>Workflow Path</t>
  </si>
  <si>
    <t>Stage #</t>
  </si>
  <si>
    <t>System Admin</t>
  </si>
  <si>
    <t>Y</t>
  </si>
  <si>
    <t>N</t>
  </si>
  <si>
    <t>Security Permissions</t>
  </si>
  <si>
    <t>Object Model</t>
  </si>
  <si>
    <t>Location Roles</t>
  </si>
  <si>
    <t>Description</t>
  </si>
  <si>
    <t>*Note: The notification content can include any fields from the application, specify in [] e.g  [IncidentType]</t>
  </si>
  <si>
    <t>*Note: Used for routing notifications and tasks to the people in that role</t>
  </si>
  <si>
    <t>Template #</t>
  </si>
  <si>
    <t>**Note: When a task is assigned to a group role then anyone in the group can complete the task on behalf of the group</t>
  </si>
  <si>
    <t>Tab Name</t>
  </si>
  <si>
    <t>Use</t>
  </si>
  <si>
    <t>Task or Decision</t>
  </si>
  <si>
    <t>Decisions &amp; Tasks</t>
  </si>
  <si>
    <t>*Note: Visual representation of the application workflow</t>
  </si>
  <si>
    <t>*Note: Visual representation of the data tables that make up the application</t>
  </si>
  <si>
    <t>*Note: Details of the tabs visible by security group</t>
  </si>
  <si>
    <t>Email Name</t>
  </si>
  <si>
    <t>*Note: Tasks or decisions made during the Design Workshop</t>
  </si>
  <si>
    <t>Definitions</t>
  </si>
  <si>
    <t>Default Sort Order</t>
  </si>
  <si>
    <t>Filtered By</t>
  </si>
  <si>
    <t>Type</t>
  </si>
  <si>
    <t>#</t>
  </si>
  <si>
    <t>Workflow Task</t>
  </si>
  <si>
    <t>Individual / Group</t>
  </si>
  <si>
    <t>Individual</t>
  </si>
  <si>
    <t>Email Template #</t>
  </si>
  <si>
    <t>Owner</t>
  </si>
  <si>
    <t>Stage</t>
  </si>
  <si>
    <t>Object</t>
  </si>
  <si>
    <t>Original Field Name</t>
  </si>
  <si>
    <t>Field Name</t>
  </si>
  <si>
    <t>Notes</t>
  </si>
  <si>
    <t>Mandatory</t>
  </si>
  <si>
    <t>Read Only</t>
  </si>
  <si>
    <t>*Note: All fields that are captured during each stage of the workflow</t>
  </si>
  <si>
    <t>Text</t>
  </si>
  <si>
    <t>Date</t>
  </si>
  <si>
    <t>Decimal</t>
  </si>
  <si>
    <t>Lookup Field Values</t>
  </si>
  <si>
    <t>*Note: All lookup type field values</t>
  </si>
  <si>
    <t>Value</t>
  </si>
  <si>
    <t>Caption</t>
  </si>
  <si>
    <t>Lookup</t>
  </si>
  <si>
    <t>Objects</t>
  </si>
  <si>
    <t>Action Handlers</t>
  </si>
  <si>
    <t>*Note: Details of commands that are fired if a record meets a set criteria</t>
  </si>
  <si>
    <t>Object Name</t>
  </si>
  <si>
    <t>Action Handler Name</t>
  </si>
  <si>
    <t>Action Trigger</t>
  </si>
  <si>
    <t>Condition Logic</t>
  </si>
  <si>
    <t>Conditional Logic / Trigger</t>
  </si>
  <si>
    <t>Notification Schedules</t>
  </si>
  <si>
    <t>Days</t>
  </si>
  <si>
    <t>Before</t>
  </si>
  <si>
    <t>Recipient</t>
  </si>
  <si>
    <t>On</t>
  </si>
  <si>
    <t>After</t>
  </si>
  <si>
    <t>*Note: Notification Schedules allow you to direct escalation notifications for due and past due tasks</t>
  </si>
  <si>
    <t>Application Configuration Workbook</t>
  </si>
  <si>
    <t>Notification Body</t>
  </si>
  <si>
    <t>Total</t>
  </si>
  <si>
    <t>Totals</t>
  </si>
  <si>
    <t>Workflow</t>
  </si>
  <si>
    <t>Notification Templates</t>
  </si>
  <si>
    <t>Fields</t>
  </si>
  <si>
    <t>Lookup Values</t>
  </si>
  <si>
    <t>Application Tabs</t>
  </si>
  <si>
    <t>Security</t>
  </si>
  <si>
    <t>Table of Contents</t>
  </si>
  <si>
    <t>Date Complete</t>
  </si>
  <si>
    <t>Worksheet Lookups</t>
  </si>
  <si>
    <t>Task Due Date</t>
  </si>
  <si>
    <t>Relative to Task Due Date</t>
  </si>
  <si>
    <t>Membership Type</t>
  </si>
  <si>
    <t>Group</t>
  </si>
  <si>
    <t>No</t>
  </si>
  <si>
    <t>Role Use</t>
  </si>
  <si>
    <t>Location-Based Notification</t>
  </si>
  <si>
    <t>Location Bound</t>
  </si>
  <si>
    <t>Yes - Active Location</t>
  </si>
  <si>
    <t>Yes - Active Location &amp; Below</t>
  </si>
  <si>
    <t>Yes - Active Location &amp; Above</t>
  </si>
  <si>
    <t>Yes - Active Location &amp; Above &amp; Below</t>
  </si>
  <si>
    <t>Yes - View All</t>
  </si>
  <si>
    <t>Yes - None</t>
  </si>
  <si>
    <t>Add / Remove</t>
  </si>
  <si>
    <t>Add/Remove</t>
  </si>
  <si>
    <t>R</t>
  </si>
  <si>
    <t>A</t>
  </si>
  <si>
    <t>Date and Time</t>
  </si>
  <si>
    <t>Number</t>
  </si>
  <si>
    <t>Time</t>
  </si>
  <si>
    <t>Yes/No</t>
  </si>
  <si>
    <t>*Note: Regardless of their security permissions, any user assigned as the Person Responsible (as well as their Immediate Supervisor) will be granted View &amp; Edit rights during that workflow stage (i.e. its in their task list)</t>
  </si>
  <si>
    <t>Application Workflow</t>
  </si>
  <si>
    <t>Base Object</t>
  </si>
  <si>
    <t>Parent</t>
  </si>
  <si>
    <t>Hierarchies</t>
  </si>
  <si>
    <t>Record Creation any Location</t>
  </si>
  <si>
    <t>Soft Delete</t>
  </si>
  <si>
    <t>Localizable</t>
  </si>
  <si>
    <t>Private Doc</t>
  </si>
  <si>
    <t>Doc Control</t>
  </si>
  <si>
    <t>Messages</t>
  </si>
  <si>
    <t>Merge Template</t>
  </si>
  <si>
    <t>Quick Task</t>
  </si>
  <si>
    <t>Recurrence</t>
  </si>
  <si>
    <t>Used in Worksheet:</t>
  </si>
  <si>
    <t>YesNo</t>
  </si>
  <si>
    <t>TaskDueDates</t>
  </si>
  <si>
    <t>MembershipTypes</t>
  </si>
  <si>
    <t>RoleUses</t>
  </si>
  <si>
    <t>LocationBoundOptions</t>
  </si>
  <si>
    <t>Types</t>
  </si>
  <si>
    <t>AddRemove</t>
  </si>
  <si>
    <t>Range Name:</t>
  </si>
  <si>
    <t>ActionTriggers</t>
  </si>
  <si>
    <t>Create</t>
  </si>
  <si>
    <t>Update</t>
  </si>
  <si>
    <t>Archive</t>
  </si>
  <si>
    <t>Delete</t>
  </si>
  <si>
    <t>Event Service</t>
  </si>
  <si>
    <t>TabTypes</t>
  </si>
  <si>
    <t>Detail</t>
  </si>
  <si>
    <t>Inventory</t>
  </si>
  <si>
    <t>T01</t>
  </si>
  <si>
    <t>T02</t>
  </si>
  <si>
    <t>T03</t>
  </si>
  <si>
    <t>T04</t>
  </si>
  <si>
    <t>AH01</t>
  </si>
  <si>
    <t>AH02</t>
  </si>
  <si>
    <t>AH03</t>
  </si>
  <si>
    <t>AH04</t>
  </si>
  <si>
    <t>Permission</t>
  </si>
  <si>
    <t>No Access</t>
  </si>
  <si>
    <t>Create Only</t>
  </si>
  <si>
    <t>View</t>
  </si>
  <si>
    <t>Edit</t>
  </si>
  <si>
    <t>Permissions</t>
  </si>
  <si>
    <t>(multiple)</t>
  </si>
  <si>
    <t>N01</t>
  </si>
  <si>
    <t>N02</t>
  </si>
  <si>
    <t>N03</t>
  </si>
  <si>
    <t>N04</t>
  </si>
  <si>
    <t>N05</t>
  </si>
  <si>
    <t>N06</t>
  </si>
  <si>
    <t>*Note: These are the lookups that are used throughout this workbook. A named range is used to define a range of cells without having to use the Column-Row notation (e,g., B8:B9 can be referenced as YesNo).</t>
  </si>
  <si>
    <t>Auto Number</t>
  </si>
  <si>
    <t>Currency</t>
  </si>
  <si>
    <t>Email</t>
  </si>
  <si>
    <t>Flag</t>
  </si>
  <si>
    <t>Float</t>
  </si>
  <si>
    <t>Percent</t>
  </si>
  <si>
    <t>Relations</t>
  </si>
  <si>
    <t>URL</t>
  </si>
  <si>
    <t>Version</t>
  </si>
  <si>
    <t>Prepared By</t>
  </si>
  <si>
    <t>Changed in this Version</t>
  </si>
  <si>
    <t>Reviewed By</t>
  </si>
  <si>
    <t>Approved By</t>
  </si>
  <si>
    <t>MOC Coordinator</t>
  </si>
  <si>
    <t>Checklist Item</t>
  </si>
  <si>
    <t>Category</t>
  </si>
  <si>
    <t>MOC Categories</t>
  </si>
  <si>
    <t>Emergency Change?</t>
  </si>
  <si>
    <t>Replace in Kind?</t>
  </si>
  <si>
    <t>Temporary Change?</t>
  </si>
  <si>
    <t>Item Number</t>
  </si>
  <si>
    <t>N/A</t>
  </si>
  <si>
    <t>Locations</t>
  </si>
  <si>
    <t>Record Number</t>
  </si>
  <si>
    <t>Task Description</t>
  </si>
  <si>
    <t>Task Type</t>
  </si>
  <si>
    <t>Categories</t>
  </si>
  <si>
    <t>L02 - Task Type</t>
  </si>
  <si>
    <t>MOC Process</t>
  </si>
  <si>
    <t>Checklist</t>
  </si>
  <si>
    <t>Documentation</t>
  </si>
  <si>
    <t>Impact/Hazard Assessment</t>
  </si>
  <si>
    <t>Training</t>
  </si>
  <si>
    <t>Change Communication</t>
  </si>
  <si>
    <t>L03 - Stages</t>
  </si>
  <si>
    <t>Initiation</t>
  </si>
  <si>
    <t>Pre-Approval</t>
  </si>
  <si>
    <t>Evaluation</t>
  </si>
  <si>
    <t>Design &amp; Analysis</t>
  </si>
  <si>
    <t>Implementation</t>
  </si>
  <si>
    <t>Start-Up</t>
  </si>
  <si>
    <t>Follow-Up</t>
  </si>
  <si>
    <t>Approval Description</t>
  </si>
  <si>
    <t>Approval Type</t>
  </si>
  <si>
    <t>Change Description</t>
  </si>
  <si>
    <t>Location</t>
  </si>
  <si>
    <t>MOC No.</t>
  </si>
  <si>
    <t>Low</t>
  </si>
  <si>
    <t>Medium</t>
  </si>
  <si>
    <t>High</t>
  </si>
  <si>
    <t>L04 - Change Impact / Priority</t>
  </si>
  <si>
    <t>Priority</t>
  </si>
  <si>
    <t>Priority Explanation</t>
  </si>
  <si>
    <t>Change Impact</t>
  </si>
  <si>
    <t>MOC Category</t>
  </si>
  <si>
    <t>Requested Change Date</t>
  </si>
  <si>
    <t>Change Expiry</t>
  </si>
  <si>
    <t>Change Requester</t>
  </si>
  <si>
    <t>Related MOCs</t>
  </si>
  <si>
    <t>Screening Questions</t>
  </si>
  <si>
    <t>Tasks</t>
  </si>
  <si>
    <t>Have approvals been received in accordance with company MOC policies?</t>
  </si>
  <si>
    <t>Evaluation Notes</t>
  </si>
  <si>
    <t>Approvals</t>
  </si>
  <si>
    <t>Alternatives Considered</t>
  </si>
  <si>
    <t>Impact/Hazards Assessment Complete?</t>
  </si>
  <si>
    <t>All critical design action items closed?</t>
  </si>
  <si>
    <t>Has all documentation been updated?</t>
  </si>
  <si>
    <t>Design &amp; Analysis Notes</t>
  </si>
  <si>
    <t>PSSR Complete?</t>
  </si>
  <si>
    <t>Training Complete?</t>
  </si>
  <si>
    <t>Has change been communicated?</t>
  </si>
  <si>
    <t>Installation Confirmed?</t>
  </si>
  <si>
    <t>Installation Complete?</t>
  </si>
  <si>
    <t>All critical PSSR action items closed?</t>
  </si>
  <si>
    <t>Implementation Notes</t>
  </si>
  <si>
    <t>Startup Completed?</t>
  </si>
  <si>
    <t>Started Confirmed?</t>
  </si>
  <si>
    <t>Start Up Notes</t>
  </si>
  <si>
    <t>Start Up</t>
  </si>
  <si>
    <t>Has Temporary Change been scheduled for permanent MOC?</t>
  </si>
  <si>
    <t>Were MOC Precedures Followed?</t>
  </si>
  <si>
    <t>MOS Process Effectiveness &amp; Feedback</t>
  </si>
  <si>
    <t>Follow Up Notes</t>
  </si>
  <si>
    <t>Follow Up</t>
  </si>
  <si>
    <t>• Pre-Approval
• Evaluation
• Design &amp; Analysis
• Implementation
• Start Up
• Follow Up</t>
  </si>
  <si>
    <t>• Evaluation
• Design &amp; Analysis
• Implementation
• Start Up
• Follow Up</t>
  </si>
  <si>
    <t>MOC Screening Question</t>
  </si>
  <si>
    <t>MOC</t>
  </si>
  <si>
    <t>MOC Task</t>
  </si>
  <si>
    <t>MOC Tasks</t>
  </si>
  <si>
    <t>Person Resposible</t>
  </si>
  <si>
    <t>Draft</t>
  </si>
  <si>
    <t>Completion/Rejection Date</t>
  </si>
  <si>
    <t>Note</t>
  </si>
  <si>
    <t>In Progress</t>
  </si>
  <si>
    <t>Action No.</t>
  </si>
  <si>
    <t>MOC Approval</t>
  </si>
  <si>
    <t>MOC Approvals</t>
  </si>
  <si>
    <t>Accept/Rejection Comment</t>
  </si>
  <si>
    <t>Approval Decision</t>
  </si>
  <si>
    <t>Close/Return Date</t>
  </si>
  <si>
    <t>Comment</t>
  </si>
  <si>
    <t>T05</t>
  </si>
  <si>
    <t>MOC Screening Question Setup</t>
  </si>
  <si>
    <t>MOC Task Setup</t>
  </si>
  <si>
    <t>MOC Approval Setup</t>
  </si>
  <si>
    <t>New Change Request</t>
  </si>
  <si>
    <t>MOC List</t>
  </si>
  <si>
    <t>Custom Action Handler</t>
  </si>
  <si>
    <t>CreateApprovalssForStage</t>
  </si>
  <si>
    <t>Change Expiry Validation</t>
  </si>
  <si>
    <t>Validates the Change Expiry field.</t>
  </si>
  <si>
    <t>Create, Update</t>
  </si>
  <si>
    <t>Update, Delete</t>
  </si>
  <si>
    <t>CreateTasksForStage</t>
  </si>
  <si>
    <t>Requested Change Date should be less than today</t>
  </si>
  <si>
    <t>Rollback Action</t>
  </si>
  <si>
    <t>If  ChangeExpiry &lt; TODAY  or  ChangeExpiry &gt; TODAY + 180
• then error: 'Change Expiry should be Today or in the future and must not be more than 180 days from Today.'</t>
  </si>
  <si>
    <t>If RequeChangeDate&lt;TODAY
• then error: 'Requested Change Date must be on or after Today.'</t>
  </si>
  <si>
    <t>• Custome Action Handler
• The sequence of setting the value is mandatory. Modification will break the action handler.</t>
  </si>
  <si>
    <t>• RollbackAction
• Set value for field 'BackStageHelper' with Workflow.CurrentStage</t>
  </si>
  <si>
    <t>Screening Test</t>
  </si>
  <si>
    <t>• CopyScreeningQuestions
• FilterScreeningRecords</t>
  </si>
  <si>
    <t>AH05</t>
  </si>
  <si>
    <t>AH06</t>
  </si>
  <si>
    <t>Due Date must be on or after Today.</t>
  </si>
  <si>
    <t>If  Workflow.CurrentStage.SystemName = "Draft" and DueDate&lt;TODAY
• then error: 'Due Date must be on or after Today.'</t>
  </si>
  <si>
    <t>Completion/Rejection Date must be on or before Today.</t>
  </si>
  <si>
    <t>If  CompletionRDate&gt;TODAY
• then error: 'Completion/Rejection Date must be on or before Today.'</t>
  </si>
  <si>
    <t>Close/Return Date must be on or before Today.</t>
  </si>
  <si>
    <t>If  ApprovalDate&lt;&gt;NULL
        If  ApprovalDate&gt;TODAY
        • then error: 'Completion/Rejection Date must be on or before Today.'</t>
  </si>
  <si>
    <t>If  DueDate&lt;&gt;NULL
        If  DueDate&gt;TODAY
        • then error: 'Due Date must be on or after Today.'</t>
  </si>
  <si>
    <t>All children for MOC Task and MOC Aproval</t>
  </si>
  <si>
    <t>Set 'Location' with the MOC.Location</t>
  </si>
  <si>
    <t>Set 'SystemNameHelpe' with individual type name</t>
  </si>
  <si>
    <t>AH07</t>
  </si>
  <si>
    <t>AH08</t>
  </si>
  <si>
    <t>AH09</t>
  </si>
  <si>
    <t>AH10</t>
  </si>
  <si>
    <t>AH11</t>
  </si>
  <si>
    <t>AH12</t>
  </si>
  <si>
    <t>Management of Change has been Promoted.</t>
  </si>
  <si>
    <t>MOC - {#ChanDescription} has been Promoted</t>
  </si>
  <si>
    <t>The following MOC has been promoted:
Module: Management of Change
Location: {#Location}
Status : {#Workflow.Status}
Change Description: {#ChanDescription}
Emergency Change : {#EmergencyChange}
Replacement in kind : {#ReplacemeinKind}
Temporary Change: {#TemporaryChange}
MOC Category: {#MOCCategory}
Requested Change Date: {#RequeChangeDate}
Change Requester: {#ChangeRequester}
--------------------------------------------------------
Please login to view full details of the report.</t>
  </si>
  <si>
    <t>Management of Change has been Rolled Back.</t>
  </si>
  <si>
    <t>MOC - {#ChanDescription} has been Rolled Back</t>
  </si>
  <si>
    <t>To: {#ChangeRequester}
The following MOC has been rolled back:
Module: Management of Change
Location: {#Location}
Status : {#Workflow.Status}
Change Description: {#ChanDescription}
Emergency Change : {#EmergencyChange}
Replacement in kind : {#ReplacemeinKind}
Temporary Change: {#TemporaryChange}
MOC Category: {#MOCCategory}
Requested Change Date: {#RequeChangeDate}
--------------------------------------------------------
Please login to view full details of the report.</t>
  </si>
  <si>
    <t>Management of Change has been Cancelled</t>
  </si>
  <si>
    <t>MOC - {#ChanDescription} has been Cancelled</t>
  </si>
  <si>
    <t>Management of Change Closed.</t>
  </si>
  <si>
    <t>MOC - {#ChanDescription} Closed</t>
  </si>
  <si>
    <t>To: {#ChangeRequester}
The following MOC closed:
Module: Management of Change
Location: {#Location}
Status : Closed
Change Description: {#ChanDescription}
Emergency Change : {#EmergencyChange}
Replacement in kind : {#ReplacemeinKind}
Temporary Change: {#TemporaryChange}
MOC Category: {#MOCCategory}
Requested Change Date: {#RequeChangeDate}
Completion Date: {#Workflow.DateModified}
--------------------------------------------------------
Please login to view full details of the report.</t>
  </si>
  <si>
    <t>Cancel</t>
  </si>
  <si>
    <t>Submit</t>
  </si>
  <si>
    <t>Roll Back</t>
  </si>
  <si>
    <t>If 'Replacement in Kind' = Yes, then transition to 'Implementation' stage
Else if 'Emergency Change' = Yes, then transition to 'Design &amp; Analysis' stage
Else transition to 'Evaluation' stage</t>
  </si>
  <si>
    <t>Transition back to 'Initiation' stage</t>
  </si>
  <si>
    <t>Transition to 'Pre Approval' stage</t>
  </si>
  <si>
    <t>Recipient(s) : Change Requester</t>
  </si>
  <si>
    <t>Recipient(s) : Change Requester
Prior to transitioning to next stage, all tasks have to be completed.</t>
  </si>
  <si>
    <t>Recipient(s) : Change Requester
Prior to transitioning to next stage, all tasks and approvals have to be completed.</t>
  </si>
  <si>
    <t>Transition to 'Design &amp; Analysis' stage</t>
  </si>
  <si>
    <t>Transition back to 'Pre-Approval'  stage</t>
  </si>
  <si>
    <t>Transition to 'Implementation' stage</t>
  </si>
  <si>
    <t>If 'Emergency Change' = Yes, then transition back to 'Pre-Approval' stage
Else transition back to 'Evaluation' stage</t>
  </si>
  <si>
    <t>Transition to 'Start Up' stage</t>
  </si>
  <si>
    <t>Transition to 'Follow Up' stage</t>
  </si>
  <si>
    <t>Transition back to 'Implementation'  stage</t>
  </si>
  <si>
    <t>Close</t>
  </si>
  <si>
    <t>Transition back to 'Start Up'  stage</t>
  </si>
  <si>
    <t xml:space="preserve">Recipient(s) : Change Requester
Prior to closing:
- All tasks and approvals have to be completed.
- If 'Temporary Changes' = Yes, then 'Has Temporary Change been scheduled for permanent MOC?' field must be set to 'Yes' </t>
  </si>
  <si>
    <t>MOC Workflow</t>
  </si>
  <si>
    <t>MOC Task Workflow</t>
  </si>
  <si>
    <t>Submit Task</t>
  </si>
  <si>
    <t>Reject Task</t>
  </si>
  <si>
    <t>Close Task</t>
  </si>
  <si>
    <t>Transition to 'In Progress' stage</t>
  </si>
  <si>
    <t>Transition back to 'Draft' stage</t>
  </si>
  <si>
    <t>MOC - {#SystemNameHelpe} Task assigned to you</t>
  </si>
  <si>
    <t>MOC - Task Rejected.</t>
  </si>
  <si>
    <t>MOC {#SystemNameHelpe} Task - Rejected</t>
  </si>
  <si>
    <t>N07</t>
  </si>
  <si>
    <t>MOC - Task Closed.</t>
  </si>
  <si>
    <t>MOC - {#SystemNameHelpe} Task has been Closed</t>
  </si>
  <si>
    <t>MOC Approval Workflow</t>
  </si>
  <si>
    <t>MOC - {#SystemNameHelpe} Approval Task assigned to you</t>
  </si>
  <si>
    <t>MOC - {#SystemNameHelpe} Approval Task has been Closed</t>
  </si>
  <si>
    <t>MOC - {#SystemNameHelpe} Approval Task has been Rejected</t>
  </si>
  <si>
    <t>N08</t>
  </si>
  <si>
    <t>N09</t>
  </si>
  <si>
    <t>N10</t>
  </si>
  <si>
    <t>Change Communication Task</t>
  </si>
  <si>
    <t>Checklist Task</t>
  </si>
  <si>
    <t>Documentation Task</t>
  </si>
  <si>
    <t>Engineering Approval</t>
  </si>
  <si>
    <t>Environmental Approval</t>
  </si>
  <si>
    <t>Financial Approval</t>
  </si>
  <si>
    <t>Impact/Hazard Assessment Task</t>
  </si>
  <si>
    <t>Process Task</t>
  </si>
  <si>
    <t>PSSR Task</t>
  </si>
  <si>
    <t>Risk Management Approval</t>
  </si>
  <si>
    <t>Safety Approval</t>
  </si>
  <si>
    <t>Start Up Approval</t>
  </si>
  <si>
    <t>Tag</t>
  </si>
  <si>
    <t>Training Task</t>
  </si>
  <si>
    <t>Workflow Stage</t>
  </si>
  <si>
    <t>Abstract Corrective Action</t>
  </si>
  <si>
    <t>Active location and below</t>
  </si>
  <si>
    <t>MOC Field List</t>
  </si>
  <si>
    <t>Update Location</t>
  </si>
  <si>
    <t>Update SystemHelper</t>
  </si>
  <si>
    <t>Create, View</t>
  </si>
  <si>
    <t>Reference Number</t>
  </si>
  <si>
    <t>Revised Change Description</t>
  </si>
  <si>
    <t>Roll Back Helper</t>
  </si>
  <si>
    <t>Roll Back Stage Helper</t>
  </si>
  <si>
    <t>Tag Helper</t>
  </si>
  <si>
    <t>WorkflowDateHelper</t>
  </si>
  <si>
    <t>L05 - MOC Priority</t>
  </si>
  <si>
    <t>Lookup: L02</t>
  </si>
  <si>
    <t>Lookup: L04</t>
  </si>
  <si>
    <t>MOC Workflow Helper</t>
  </si>
  <si>
    <t>All Stages</t>
  </si>
  <si>
    <t>L01 - MOC Priority</t>
  </si>
  <si>
    <t>Relationship: M:1 to MOC Category Object</t>
  </si>
  <si>
    <t>Relationship: M:1 to Location Object</t>
  </si>
  <si>
    <t>Relationship: M:1 to Employee Object</t>
  </si>
  <si>
    <t>Relationship: 1:M to MOC Screening Question Object</t>
  </si>
  <si>
    <t>Relationship: 1:M to MOC Task Object</t>
  </si>
  <si>
    <t>Relationship: 1:M to MOC Approval Object</t>
  </si>
  <si>
    <t>Relationship: M:N to MOC Object</t>
  </si>
  <si>
    <t>Relationship: M:1 to MOC Workflow Object</t>
  </si>
  <si>
    <t>Relationship: M:1 to MOC Object</t>
  </si>
  <si>
    <t>Number of Open Tasks</t>
  </si>
  <si>
    <t>Number of Tasks</t>
  </si>
  <si>
    <t>Replacement in Kind?</t>
  </si>
  <si>
    <t>Screening Template</t>
  </si>
  <si>
    <t>Visibility</t>
  </si>
  <si>
    <t>Visibility Helper</t>
  </si>
  <si>
    <t>Calculation: COUNT(FILTER(Tasks.Workflow.WorkflowStatus,"=","Open"))</t>
  </si>
  <si>
    <t>Calculation: COUNT(Tasks)</t>
  </si>
  <si>
    <t>Relationship: M:1 to MOC Screening Question Setup Object</t>
  </si>
  <si>
    <t>Relationship: M:1 to Workflow Stage Object</t>
  </si>
  <si>
    <t>Role/Person Resposible</t>
  </si>
  <si>
    <t>Relationship: M:1 to Subject Object</t>
  </si>
  <si>
    <t>SystemNameHelper</t>
  </si>
  <si>
    <t>Task Template</t>
  </si>
  <si>
    <t>Relationship: M:1 to MOC Task Setup Object</t>
  </si>
  <si>
    <t>Accept Approval Task</t>
  </si>
  <si>
    <t>Record No.</t>
  </si>
  <si>
    <t>Approval Template</t>
  </si>
  <si>
    <t>Completion Date</t>
  </si>
  <si>
    <t>MOC Location</t>
  </si>
  <si>
    <t>Relationship: M:1 to MOC Approval Setup Object</t>
  </si>
  <si>
    <t>ManagemOfChange_EnvironmentalObject</t>
  </si>
  <si>
    <t>Environment</t>
  </si>
  <si>
    <t>ManagemOfChange_SafetyObject</t>
  </si>
  <si>
    <t>Safety</t>
  </si>
  <si>
    <t>ManagemOfChange_EngineeringObject</t>
  </si>
  <si>
    <t>Engineering</t>
  </si>
  <si>
    <t>ManagemOfChange_RiskManagementObject</t>
  </si>
  <si>
    <t>Risk Management</t>
  </si>
  <si>
    <t>ManagemOfChange_FinancialObject</t>
  </si>
  <si>
    <t>Financial</t>
  </si>
  <si>
    <t>ManagemOfChange_MOCStartUpObject</t>
  </si>
  <si>
    <t>Rejection Comment</t>
  </si>
  <si>
    <t>Approval Due Date</t>
  </si>
  <si>
    <t>Approval Person Responsible</t>
  </si>
  <si>
    <t>Change Impacts</t>
  </si>
  <si>
    <t>Tags</t>
  </si>
  <si>
    <t>WF Stages</t>
  </si>
  <si>
    <t>Relationship: M:N to MOC Category Object</t>
  </si>
  <si>
    <t>Relationship: M:N to Tag Object</t>
  </si>
  <si>
    <t>Relationship: M:N to Workflow Stage Object</t>
  </si>
  <si>
    <t>Task Person Responsible</t>
  </si>
  <si>
    <t>ManagemOfChange_PSSRObject</t>
  </si>
  <si>
    <t>PSSR</t>
  </si>
  <si>
    <t>ManagemOfChange_MOCProcessObject</t>
  </si>
  <si>
    <t>ManagemOfChange_ChecklistObject</t>
  </si>
  <si>
    <t>ManagemOfChange_DocumentationObject</t>
  </si>
  <si>
    <t>ManagemOfChange_ImpacAssessmentObject</t>
  </si>
  <si>
    <t>ManagemOfChange_TrainingObject</t>
  </si>
  <si>
    <t>ManagemOfChange_ChCommunicationObject</t>
  </si>
  <si>
    <t>L06 - MOC Task Children</t>
  </si>
  <si>
    <t>Lookup: L06</t>
  </si>
  <si>
    <t>Change Expiry Validation On Create.</t>
  </si>
  <si>
    <t>Created By (Field)</t>
  </si>
  <si>
    <t>MOC Coordinator (Role)</t>
  </si>
  <si>
    <t>View Action: Visible if Temporary Change = Yes</t>
  </si>
  <si>
    <t>Private Document Attachments</t>
  </si>
  <si>
    <t>Workflow Comments</t>
  </si>
  <si>
    <t>Helper Field not on form</t>
  </si>
  <si>
    <t>Checklist Items from Previous Stage</t>
  </si>
  <si>
    <t>Checklist Items from Current Stage</t>
  </si>
  <si>
    <t>Types of Tasks: 
• Change Communication Task
• Checklist Task
• Documentation Task
• Impact/Hazard Assessment Task
• Process Task
• PSSR Task
• Training Task</t>
  </si>
  <si>
    <t>Types of Approvals:
• Engineering Approval
• Environmental Approval
• Financial Approval
• Risk Management Approval
• Safety Approval
• Start Up Approval</t>
  </si>
  <si>
    <t>This GridSection will show the Screening Question for the Current Stage</t>
  </si>
  <si>
    <t>This GridSection will show the Screening Question from all previous stages</t>
  </si>
  <si>
    <t>Were MOC Procedures Followed?</t>
  </si>
  <si>
    <t>Relationship: M:N to Location Object</t>
  </si>
  <si>
    <t>Lookup: L01 - Multi-selection checkbox</t>
  </si>
  <si>
    <t>ViewAction: Mandatory and Visible if 'Accept Approval Task' = No</t>
  </si>
  <si>
    <t>ViewAction: Mandatory and Visible if 'Accept Approval Task' = Yes</t>
  </si>
  <si>
    <r>
      <t>Management of Change</t>
    </r>
    <r>
      <rPr>
        <sz val="11"/>
        <color theme="0" tint="-0.499984740745262"/>
        <rFont val="Arial"/>
        <family val="2"/>
      </rPr>
      <t xml:space="preserve"> (1.3.0)</t>
    </r>
  </si>
  <si>
    <t>Person Responsible (Field)</t>
  </si>
  <si>
    <t>Close Approval Task</t>
  </si>
  <si>
    <t>Reject Approval Task</t>
  </si>
  <si>
    <t>Recipient(s) : Creator
Prior to transitioning to previous stage, 'Rejection Date' must be on or before Today</t>
  </si>
  <si>
    <t>Recipient(s) : Creator
Prior to closing, 'Completion Date' must be on or before Today</t>
  </si>
  <si>
    <t>Recipient(s) : Creator
Prior to transitioning to previous stage, 'Accept Approval Task' must be 'No'</t>
  </si>
  <si>
    <t>Recipient(s) : Creator
Prior to closing:
-'Accept Approval Task' must be 'Yes'
-'Completion Date' must be on or before Today</t>
  </si>
  <si>
    <t>Submit Approval Task</t>
  </si>
  <si>
    <t>MOC Setup</t>
  </si>
  <si>
    <t>T05.1</t>
  </si>
  <si>
    <t>T05.2</t>
  </si>
  <si>
    <t>T05.3</t>
  </si>
  <si>
    <t xml:space="preserve">   Screening Question Setup</t>
  </si>
  <si>
    <t xml:space="preserve">   MOC Task Setup</t>
  </si>
  <si>
    <t xml:space="preserve">   MOC Approval Setup</t>
  </si>
  <si>
    <t>Management of Change Coordinator</t>
  </si>
  <si>
    <t>Management of Change Administrator (Content)</t>
  </si>
  <si>
    <t>MOC No. (descending)</t>
  </si>
  <si>
    <r>
      <rPr>
        <b/>
        <sz val="11"/>
        <color theme="1"/>
        <rFont val="Calibri"/>
        <family val="2"/>
      </rPr>
      <t>No Access</t>
    </r>
    <r>
      <rPr>
        <sz val="11"/>
        <color theme="1"/>
        <rFont val="Calibri"/>
        <family val="2"/>
      </rPr>
      <t xml:space="preserve"> - the user can respond to tasks assigned to them, but they can't create new records</t>
    </r>
  </si>
  <si>
    <r>
      <rPr>
        <b/>
        <sz val="11"/>
        <color theme="1"/>
        <rFont val="Calibri"/>
        <family val="2"/>
      </rPr>
      <t>Create</t>
    </r>
    <r>
      <rPr>
        <sz val="11"/>
        <color theme="1"/>
        <rFont val="Calibri"/>
        <family val="2"/>
      </rPr>
      <t xml:space="preserve"> - the user can create new records (but cannot see existing records in the application unless also given View permission)</t>
    </r>
  </si>
  <si>
    <r>
      <rPr>
        <b/>
        <sz val="11"/>
        <color theme="1"/>
        <rFont val="Calibri"/>
        <family val="2"/>
      </rPr>
      <t>View</t>
    </r>
    <r>
      <rPr>
        <sz val="11"/>
        <color theme="1"/>
        <rFont val="Calibri"/>
        <family val="2"/>
      </rPr>
      <t xml:space="preserve"> - the user can see records that have been created by other users at locations the user has access to see (Inventory and Detail views)</t>
    </r>
  </si>
  <si>
    <r>
      <rPr>
        <b/>
        <sz val="11"/>
        <color theme="1"/>
        <rFont val="Calibri"/>
        <family val="2"/>
      </rPr>
      <t>View In Inventory</t>
    </r>
    <r>
      <rPr>
        <sz val="11"/>
        <color theme="1"/>
        <rFont val="Calibri"/>
        <family val="2"/>
      </rPr>
      <t xml:space="preserve"> - the user can see records in inventory view that have been created by other users at locations the user has access to see.</t>
    </r>
  </si>
  <si>
    <r>
      <rPr>
        <b/>
        <sz val="11"/>
        <color theme="1"/>
        <rFont val="Calibri"/>
        <family val="2"/>
      </rPr>
      <t>Edit</t>
    </r>
    <r>
      <rPr>
        <sz val="11"/>
        <color theme="1"/>
        <rFont val="Calibri"/>
        <family val="2"/>
      </rPr>
      <t xml:space="preserve"> - the user can edit records that have been created by other users at locations the user has access to see</t>
    </r>
  </si>
  <si>
    <r>
      <rPr>
        <b/>
        <sz val="11"/>
        <color theme="1"/>
        <rFont val="Calibri"/>
        <family val="2"/>
      </rPr>
      <t>Edit Read-Only</t>
    </r>
    <r>
      <rPr>
        <sz val="11"/>
        <color theme="1"/>
        <rFont val="Calibri"/>
        <family val="2"/>
      </rPr>
      <t xml:space="preserve"> - the user can edit fields that have been flagged as Edit Read-Only on records that have been created by other users at locations the user has access to see. These are typically fields that a typical user would not be able to edit (in general, or beyond a certain progression in the record's workflow)</t>
    </r>
  </si>
  <si>
    <r>
      <rPr>
        <b/>
        <sz val="11"/>
        <color theme="1"/>
        <rFont val="Calibri"/>
        <family val="2"/>
      </rPr>
      <t>Delete</t>
    </r>
    <r>
      <rPr>
        <sz val="11"/>
        <color theme="1"/>
        <rFont val="Calibri"/>
        <family val="2"/>
      </rPr>
      <t xml:space="preserve"> - the user can delete records that have been created by other users at locations the user has access to see</t>
    </r>
  </si>
  <si>
    <r>
      <rPr>
        <b/>
        <sz val="11"/>
        <color theme="1"/>
        <rFont val="Calibri"/>
        <family val="2"/>
      </rPr>
      <t>Archive</t>
    </r>
    <r>
      <rPr>
        <sz val="11"/>
        <color theme="1"/>
        <rFont val="Calibri"/>
        <family val="2"/>
      </rPr>
      <t xml:space="preserve"> - the user can archive records that have been created by other users at locations the user has access to see</t>
    </r>
  </si>
  <si>
    <r>
      <rPr>
        <b/>
        <sz val="11"/>
        <color theme="1"/>
        <rFont val="Calibri"/>
        <family val="2"/>
      </rPr>
      <t>Restore</t>
    </r>
    <r>
      <rPr>
        <sz val="11"/>
        <color theme="1"/>
        <rFont val="Calibri"/>
        <family val="2"/>
      </rPr>
      <t xml:space="preserve"> - the user can return archived records to an active state at locations the user has access to see</t>
    </r>
  </si>
  <si>
    <r>
      <rPr>
        <b/>
        <sz val="11"/>
        <color theme="1"/>
        <rFont val="Calibri"/>
        <family val="2"/>
      </rPr>
      <t>View Audit Trail</t>
    </r>
    <r>
      <rPr>
        <sz val="11"/>
        <color theme="1"/>
        <rFont val="Calibri"/>
        <family val="2"/>
      </rPr>
      <t xml:space="preserve"> - the user has access to view the Audit Trail for records of this type at locations the user has access to see</t>
    </r>
  </si>
  <si>
    <r>
      <rPr>
        <b/>
        <sz val="11"/>
        <color theme="1"/>
        <rFont val="Calibri"/>
        <family val="2"/>
      </rPr>
      <t>Manage Security</t>
    </r>
    <r>
      <rPr>
        <sz val="11"/>
        <color theme="1"/>
        <rFont val="Calibri"/>
        <family val="2"/>
      </rPr>
      <t xml:space="preserve"> - the user has access to view and edit a record's individual security at locations the user has access to see</t>
    </r>
  </si>
  <si>
    <r>
      <rPr>
        <b/>
        <sz val="11"/>
        <color theme="1"/>
        <rFont val="Calibri"/>
        <family val="2"/>
      </rPr>
      <t>View Security</t>
    </r>
    <r>
      <rPr>
        <sz val="11"/>
        <color theme="1"/>
        <rFont val="Calibri"/>
        <family val="2"/>
      </rPr>
      <t xml:space="preserve"> - the user has access to view a record's individual security at locations the user has access to see</t>
    </r>
  </si>
  <si>
    <r>
      <rPr>
        <b/>
        <sz val="11"/>
        <color theme="1"/>
        <rFont val="Calibri"/>
        <family val="2"/>
      </rPr>
      <t>Edit Security</t>
    </r>
    <r>
      <rPr>
        <sz val="11"/>
        <color theme="1"/>
        <rFont val="Calibri"/>
        <family val="2"/>
      </rPr>
      <t xml:space="preserve"> - allows the user to edit record-level security for records at locations the user has access to see</t>
    </r>
  </si>
  <si>
    <r>
      <rPr>
        <b/>
        <sz val="11"/>
        <color theme="1"/>
        <rFont val="Calibri"/>
        <family val="2"/>
      </rPr>
      <t>Break Lock</t>
    </r>
    <r>
      <rPr>
        <sz val="11"/>
        <color theme="1"/>
        <rFont val="Calibri"/>
        <family val="2"/>
      </rPr>
      <t xml:space="preserve"> - if an object has the Locking Concurrency type enabled (meaning only one user can edit a specific record at a time), Break Lock allows the user to clear the edit lock on a record</t>
    </r>
  </si>
  <si>
    <r>
      <rPr>
        <b/>
        <sz val="11"/>
        <color theme="1"/>
        <rFont val="Calibri"/>
        <family val="2"/>
      </rPr>
      <t>Full Control</t>
    </r>
    <r>
      <rPr>
        <sz val="11"/>
        <color theme="1"/>
        <rFont val="Calibri"/>
        <family val="2"/>
      </rPr>
      <t xml:space="preserve"> - a combination of Archive, Break Lock, Create, Delete, Edit, Edit Read-Only, Edit Security, Restore, View Archived, View Audit Trail, View, View Security</t>
    </r>
  </si>
  <si>
    <r>
      <rPr>
        <b/>
        <sz val="11"/>
        <color theme="1"/>
        <rFont val="Calibri"/>
        <family val="2"/>
      </rPr>
      <t xml:space="preserve">Workflow Actions </t>
    </r>
    <r>
      <rPr>
        <sz val="11"/>
        <color theme="1"/>
        <rFont val="Calibri"/>
        <family val="2"/>
      </rPr>
      <t>- this user can perform workflow actions (e.g. submit, reject, etc.) as if they were the Person Responsible</t>
    </r>
  </si>
  <si>
    <r>
      <rPr>
        <b/>
        <sz val="11"/>
        <color theme="1"/>
        <rFont val="Calibri"/>
        <family val="2"/>
      </rPr>
      <t>Reopen Workflow</t>
    </r>
    <r>
      <rPr>
        <sz val="11"/>
        <color theme="1"/>
        <rFont val="Calibri"/>
        <family val="2"/>
      </rPr>
      <t xml:space="preserve"> - the user has the ability to return a closed record to it's last active workflow stage and Person Responsible at locations the user has access to see</t>
    </r>
  </si>
  <si>
    <r>
      <rPr>
        <b/>
        <sz val="11"/>
        <color theme="1"/>
        <rFont val="Calibri"/>
        <family val="2"/>
      </rPr>
      <t>View Details</t>
    </r>
    <r>
      <rPr>
        <sz val="11"/>
        <color theme="1"/>
        <rFont val="Calibri"/>
        <family val="2"/>
      </rPr>
      <t xml:space="preserve"> - the user can see records in detail view that have been created by other users at locations the user has access to see</t>
    </r>
  </si>
  <si>
    <t>View, Edit</t>
  </si>
  <si>
    <t>Create, View, Edit, Delete</t>
  </si>
  <si>
    <t>Create, View, Edit</t>
  </si>
  <si>
    <t>Risks - Full Access</t>
  </si>
  <si>
    <t>Risks - Standard Access</t>
  </si>
  <si>
    <r>
      <rPr>
        <b/>
        <sz val="11"/>
        <color theme="1"/>
        <rFont val="Calibri"/>
        <family val="2"/>
      </rPr>
      <t>Modify</t>
    </r>
    <r>
      <rPr>
        <sz val="11"/>
        <color theme="1"/>
        <rFont val="Calibri"/>
        <family val="2"/>
      </rPr>
      <t xml:space="preserve"> - a combination of View, Create, Edit, and Archive</t>
    </r>
  </si>
  <si>
    <t>MOC Task**</t>
  </si>
  <si>
    <t>Person Responsible*</t>
  </si>
  <si>
    <t>Training Task**</t>
  </si>
  <si>
    <t>PSSR Task**</t>
  </si>
  <si>
    <t>Process Task**</t>
  </si>
  <si>
    <t>Impact/Hazard Assessment Task**</t>
  </si>
  <si>
    <t>Documentation Task**</t>
  </si>
  <si>
    <t>Checklist Task**</t>
  </si>
  <si>
    <t>Change Communication Task**</t>
  </si>
  <si>
    <t>**Note: The Task objects also give permissions to security groups used by other applications such as APQP, Audits, FMEA, NCR, SRM, etc.</t>
  </si>
  <si>
    <t>M</t>
  </si>
  <si>
    <t>MOC - Task assigned to you</t>
  </si>
  <si>
    <t>Person Responsible</t>
  </si>
  <si>
    <t>Draft -&gt; In Progress</t>
  </si>
  <si>
    <t>Created By</t>
  </si>
  <si>
    <t>In Progress -&gt; Closed</t>
  </si>
  <si>
    <t>In Progress -&gt; Draft</t>
  </si>
  <si>
    <t>MOC - Approval Task assigned to you</t>
  </si>
  <si>
    <t>MOC - Approval Task has been Rejected</t>
  </si>
  <si>
    <t>MOC - Approval Task has been Closed.</t>
  </si>
  <si>
    <t>Change Requester (Field)</t>
  </si>
  <si>
    <t>(any relevant stage) -&gt; Cancelled</t>
  </si>
  <si>
    <t>When any relevant stage is rolled back</t>
  </si>
  <si>
    <t>Follow Up -&gt; Closed</t>
  </si>
  <si>
    <t>MOC Coordinator (Role)
Change Requester (Field)</t>
  </si>
  <si>
    <t>Initiation -&gt; Pre-Approval
(any other stage) -&gt; (next stage)</t>
  </si>
  <si>
    <t>MOC Process Effectiveness &amp; Feedback</t>
  </si>
  <si>
    <t>Target Date</t>
  </si>
  <si>
    <t>Draft, Post-Save</t>
  </si>
  <si>
    <t>Relationship: M:N to Workflow Stage Object
Tooltip: "The stage(s) of a workflow this screening question is assigned for."</t>
  </si>
  <si>
    <t>Startup Confirmed?</t>
  </si>
  <si>
    <t>If 'Replacement in Kind' = Yes, then transition back to 'Pre-Approval' stage
Else transition back to 'Design &amp; Analysis' stage</t>
  </si>
  <si>
    <t>Based on Platfrom Version 6.6.6.2</t>
  </si>
  <si>
    <t>Columns</t>
  </si>
  <si>
    <t>MOC No. | Location | Change Description | Emergency Change? | Replacement in Kind? | Temporary Change? | Change Impact | Requested Date Change | Status | Workflow Status</t>
  </si>
  <si>
    <t>Action No. | Location | MOC Task Type | Task Description | Person Responsible | Target Date | Status</t>
  </si>
  <si>
    <t>Approval Description | Record No. | Location | MOC Approval Type | Person Responsible | Target Date | Status</t>
  </si>
  <si>
    <t>Checklist Item | Locations | Category | MOC Categories | WF Stages | Change Impacts | Emergency Change? | Replacement in Kind? | Temporary Change?</t>
  </si>
  <si>
    <t>Task Description | Locations | Task Type | MOC Categories | WF Stages | Change Impacts | Emergency Change? | Replacement in Kind? | Temporary Change?</t>
  </si>
  <si>
    <t>Approval Description | Locations | Approval Type | MOC Categories | WF Stages | Change Impacts | Emergency Change? | Replacement in Kind? | Temporary Change? | Approval Person Responsible | Approval Due Date</t>
  </si>
  <si>
    <t>List of MOC Tasks Grouped By WFStage and MOC.ChanDescription</t>
  </si>
  <si>
    <t>List of MOC Approvals Grouped By WFStage and MOC.ChanDescription</t>
  </si>
  <si>
    <t>Field Name (Caption)</t>
  </si>
  <si>
    <t>Caption in View</t>
  </si>
  <si>
    <t>Tooltips/Hints/Instruction Text</t>
  </si>
  <si>
    <t>Mobile</t>
  </si>
  <si>
    <t>Mandatory in Draft</t>
  </si>
  <si>
    <t>Mandatory in In Progress</t>
  </si>
  <si>
    <r>
      <t xml:space="preserve">M:1 relation to </t>
    </r>
    <r>
      <rPr>
        <i/>
        <sz val="11"/>
        <color theme="1"/>
        <rFont val="Calibri"/>
        <family val="2"/>
      </rPr>
      <t>Location</t>
    </r>
    <r>
      <rPr>
        <sz val="11"/>
        <color theme="1"/>
        <rFont val="Calibri"/>
        <family val="2"/>
      </rPr>
      <t xml:space="preserve"> object</t>
    </r>
  </si>
  <si>
    <r>
      <rPr>
        <b/>
        <sz val="11"/>
        <color theme="1"/>
        <rFont val="Calibri"/>
        <family val="2"/>
      </rPr>
      <t>Max length:</t>
    </r>
    <r>
      <rPr>
        <sz val="11"/>
        <color theme="1"/>
        <rFont val="Calibri"/>
        <family val="2"/>
      </rPr>
      <t xml:space="preserve"> 255</t>
    </r>
  </si>
  <si>
    <t>Description field for the change.</t>
  </si>
  <si>
    <t>Indicator whether this change request is an emergency one. Emergency changes have an expedited workflow, often skipping Evaluation and/or Design&amp;Analysis stages.</t>
  </si>
  <si>
    <r>
      <rPr>
        <b/>
        <sz val="11"/>
        <color theme="1"/>
        <rFont val="Calibri"/>
        <family val="2"/>
      </rPr>
      <t>Tooltip:</t>
    </r>
    <r>
      <rPr>
        <sz val="11"/>
        <color theme="1"/>
        <rFont val="Calibri"/>
        <family val="2"/>
      </rPr>
      <t xml:space="preserve"> Is the suggested change an emergency change?</t>
    </r>
    <r>
      <rPr>
        <b/>
        <sz val="11"/>
        <color theme="1"/>
        <rFont val="Calibri"/>
        <family val="2"/>
      </rPr>
      <t xml:space="preserve">
Hint: </t>
    </r>
    <r>
      <rPr>
        <sz val="11"/>
        <color theme="1"/>
        <rFont val="Calibri"/>
        <family val="2"/>
      </rPr>
      <t>Emergency changes, if accepted by the MOC coordinator, follow a path that skips the Evaluation stage and proceeds directly to the Design &amp; Analysis stage</t>
    </r>
  </si>
  <si>
    <t>Does the suggested change involve the same fit, form, function and operating conditions of the pre-change state?</t>
  </si>
  <si>
    <r>
      <rPr>
        <b/>
        <sz val="11"/>
        <color theme="1"/>
        <rFont val="Calibri"/>
        <family val="2"/>
      </rPr>
      <t>Tooltip:</t>
    </r>
    <r>
      <rPr>
        <sz val="11"/>
        <color theme="1"/>
        <rFont val="Calibri"/>
        <family val="2"/>
      </rPr>
      <t xml:space="preserve"> Does the suggested change involve the same fit, form, function and operating conditions of the pre-change state?</t>
    </r>
    <r>
      <rPr>
        <b/>
        <sz val="11"/>
        <color theme="1"/>
        <rFont val="Calibri"/>
        <family val="2"/>
      </rPr>
      <t xml:space="preserve">
Hint: </t>
    </r>
    <r>
      <rPr>
        <sz val="11"/>
        <color theme="1"/>
        <rFont val="Calibri"/>
        <family val="2"/>
      </rPr>
      <t>Replacements in kind, if accepted by the MOC coordinator, follow a path that skips the Evaluation and Design &amp; Analysis stages and proceeds directly to the Implementation stage.</t>
    </r>
  </si>
  <si>
    <r>
      <rPr>
        <b/>
        <sz val="11"/>
        <color theme="1"/>
        <rFont val="Calibri"/>
        <family val="2"/>
      </rPr>
      <t>Default Value:</t>
    </r>
    <r>
      <rPr>
        <sz val="11"/>
        <color theme="1"/>
        <rFont val="Calibri"/>
        <family val="2"/>
      </rPr>
      <t xml:space="preserve"> Static
</t>
    </r>
    <r>
      <rPr>
        <b/>
        <sz val="11"/>
        <color theme="1"/>
        <rFont val="Calibri"/>
        <family val="2"/>
      </rPr>
      <t>Value:</t>
    </r>
    <r>
      <rPr>
        <sz val="11"/>
        <color theme="1"/>
        <rFont val="Calibri"/>
        <family val="2"/>
      </rPr>
      <t xml:space="preserve"> No</t>
    </r>
  </si>
  <si>
    <t>Is the proposed change a temporary one? Change expiry is mandatory for temporary changes.</t>
  </si>
  <si>
    <r>
      <rPr>
        <b/>
        <sz val="11"/>
        <color theme="1"/>
        <rFont val="Calibri"/>
        <family val="2"/>
      </rPr>
      <t>Tooltip:</t>
    </r>
    <r>
      <rPr>
        <sz val="11"/>
        <color theme="1"/>
        <rFont val="Calibri"/>
        <family val="2"/>
      </rPr>
      <t xml:space="preserve"> Is the proposed change a temporary one? Change expiry is mandatory for temporary changes.</t>
    </r>
    <r>
      <rPr>
        <b/>
        <sz val="11"/>
        <color theme="1"/>
        <rFont val="Calibri"/>
        <family val="2"/>
      </rPr>
      <t xml:space="preserve">
Hint: </t>
    </r>
    <r>
      <rPr>
        <sz val="11"/>
        <color theme="1"/>
        <rFont val="Calibri"/>
        <family val="2"/>
      </rPr>
      <t>Is the proposed change a temporary one? Change expiry is mandatory for temporary changes.</t>
    </r>
  </si>
  <si>
    <t>Justification for the priority chosen</t>
  </si>
  <si>
    <r>
      <rPr>
        <b/>
        <sz val="11"/>
        <color theme="1"/>
        <rFont val="Calibri"/>
        <family val="2"/>
      </rPr>
      <t>Tooltip:</t>
    </r>
    <r>
      <rPr>
        <sz val="11"/>
        <color theme="1"/>
        <rFont val="Calibri"/>
        <family val="2"/>
      </rPr>
      <t xml:space="preserve"> Enter any justifications, technical basis, contexts or business value for the priority of the proposed change</t>
    </r>
    <r>
      <rPr>
        <b/>
        <sz val="11"/>
        <color theme="1"/>
        <rFont val="Calibri"/>
        <family val="2"/>
      </rPr>
      <t xml:space="preserve">
Hint: </t>
    </r>
    <r>
      <rPr>
        <sz val="11"/>
        <color theme="1"/>
        <rFont val="Calibri"/>
        <family val="2"/>
      </rPr>
      <t>Enter any details available about why the desired priority was selected.</t>
    </r>
  </si>
  <si>
    <t>A field used to denote priority of a change's completion</t>
  </si>
  <si>
    <r>
      <rPr>
        <b/>
        <sz val="11"/>
        <color theme="1"/>
        <rFont val="Calibri"/>
        <family val="2"/>
      </rPr>
      <t>Tooltip:</t>
    </r>
    <r>
      <rPr>
        <sz val="11"/>
        <color theme="1"/>
        <rFont val="Calibri"/>
        <family val="2"/>
      </rPr>
      <t xml:space="preserve"> The MOC category this change is related to.</t>
    </r>
  </si>
  <si>
    <r>
      <t xml:space="preserve">M:1 relation to </t>
    </r>
    <r>
      <rPr>
        <i/>
        <sz val="11"/>
        <color theme="1"/>
        <rFont val="Calibri"/>
        <family val="2"/>
      </rPr>
      <t>MOC Category</t>
    </r>
    <r>
      <rPr>
        <sz val="11"/>
        <color theme="1"/>
        <rFont val="Calibri"/>
        <family val="2"/>
      </rPr>
      <t xml:space="preserve"> object</t>
    </r>
  </si>
  <si>
    <t>Requester of the change. Defaults to the logged in user.</t>
  </si>
  <si>
    <r>
      <rPr>
        <b/>
        <sz val="11"/>
        <color theme="1"/>
        <rFont val="Calibri"/>
        <family val="2"/>
      </rPr>
      <t>Tooltip:</t>
    </r>
    <r>
      <rPr>
        <sz val="11"/>
        <color theme="1"/>
        <rFont val="Calibri"/>
        <family val="2"/>
      </rPr>
      <t xml:space="preserve"> The creator of the change is defaulted to the logged in user.</t>
    </r>
  </si>
  <si>
    <r>
      <t xml:space="preserve">M:1 Relation to </t>
    </r>
    <r>
      <rPr>
        <i/>
        <sz val="11"/>
        <color theme="1"/>
        <rFont val="Calibri"/>
        <family val="2"/>
      </rPr>
      <t>Employee</t>
    </r>
    <r>
      <rPr>
        <sz val="11"/>
        <color theme="1"/>
        <rFont val="Calibri"/>
        <family val="2"/>
      </rPr>
      <t xml:space="preserve"> Object
Default Value: Expression
Value: CreatedBy</t>
    </r>
  </si>
  <si>
    <t>Requested Change date for the proposed change. This date must be on or after the date of initiation of the MOC.</t>
  </si>
  <si>
    <r>
      <rPr>
        <b/>
        <sz val="11"/>
        <color theme="1"/>
        <rFont val="Calibri"/>
        <family val="2"/>
      </rPr>
      <t>Tooltip:</t>
    </r>
    <r>
      <rPr>
        <sz val="11"/>
        <color theme="1"/>
        <rFont val="Calibri"/>
        <family val="2"/>
      </rPr>
      <t xml:space="preserve"> This date must be on or after the date of initiation of the MOC.</t>
    </r>
    <r>
      <rPr>
        <b/>
        <sz val="11"/>
        <color theme="1"/>
        <rFont val="Calibri"/>
        <family val="2"/>
      </rPr>
      <t xml:space="preserve">
Hint: </t>
    </r>
    <r>
      <rPr>
        <sz val="11"/>
        <color theme="1"/>
        <rFont val="Calibri"/>
        <family val="2"/>
      </rPr>
      <t>Enter the desired change effective date</t>
    </r>
  </si>
  <si>
    <t>Initiation Information Details</t>
  </si>
  <si>
    <t>Mandatory in Initiation</t>
  </si>
  <si>
    <t>Read Only in Initiation</t>
  </si>
  <si>
    <t>Detail Section</t>
  </si>
  <si>
    <t>Pre-Approval Detail</t>
  </si>
  <si>
    <t>This field is used to record notes during the Pre-approval stage of an MOC.</t>
  </si>
  <si>
    <r>
      <t xml:space="preserve">1:M Relationship to </t>
    </r>
    <r>
      <rPr>
        <i/>
        <sz val="11"/>
        <color theme="1"/>
        <rFont val="Calibri"/>
        <family val="2"/>
      </rPr>
      <t>MOC Screening Question</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Checklist Item | Yes/No | Comments | Number of Tasks | Add a Task</t>
    </r>
  </si>
  <si>
    <t>Checklist Items</t>
  </si>
  <si>
    <r>
      <t xml:space="preserve">1:M Relationship to </t>
    </r>
    <r>
      <rPr>
        <i/>
        <sz val="11"/>
        <color theme="1"/>
        <rFont val="Calibri"/>
        <family val="2"/>
      </rPr>
      <t>MOC Screening Question</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xml:space="preserve">: Checklist Item | Yes/No | Comments | Number of Tasks | </t>
    </r>
  </si>
  <si>
    <r>
      <t xml:space="preserve">1:M Relationship to </t>
    </r>
    <r>
      <rPr>
        <i/>
        <sz val="11"/>
        <color theme="1"/>
        <rFont val="Calibri"/>
        <family val="2"/>
      </rPr>
      <t>MOC Task</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Action No. | Location | MOC Task Type | Task Description | Person Responsible | Target Date | Status</t>
    </r>
  </si>
  <si>
    <r>
      <t xml:space="preserve">1:M Relationship to </t>
    </r>
    <r>
      <rPr>
        <i/>
        <sz val="11"/>
        <color theme="1"/>
        <rFont val="Calibri"/>
        <family val="2"/>
      </rPr>
      <t>MOC Approval</t>
    </r>
    <r>
      <rPr>
        <b/>
        <sz val="11"/>
        <color theme="1"/>
        <rFont val="Calibri"/>
        <family val="2"/>
      </rPr>
      <t xml:space="preserve"> </t>
    </r>
    <r>
      <rPr>
        <sz val="11"/>
        <color theme="1"/>
        <rFont val="Calibri"/>
        <family val="2"/>
      </rPr>
      <t xml:space="preserve">object
</t>
    </r>
    <r>
      <rPr>
        <b/>
        <sz val="11"/>
        <color theme="1"/>
        <rFont val="Calibri"/>
        <family val="2"/>
      </rPr>
      <t>Columns</t>
    </r>
    <r>
      <rPr>
        <sz val="11"/>
        <color theme="1"/>
        <rFont val="Calibri"/>
        <family val="2"/>
      </rPr>
      <t>: Record No. | Location | MOC Approval Type | Approval Description | Person Responsible | Target Date | Status</t>
    </r>
  </si>
  <si>
    <t>Evaluation Details</t>
  </si>
  <si>
    <r>
      <rPr>
        <b/>
        <sz val="11"/>
        <color theme="1"/>
        <rFont val="Calibri"/>
        <family val="2"/>
      </rPr>
      <t>Default Value:</t>
    </r>
    <r>
      <rPr>
        <sz val="11"/>
        <color theme="1"/>
        <rFont val="Calibri"/>
        <family val="2"/>
      </rPr>
      <t xml:space="preserve"> Today</t>
    </r>
  </si>
  <si>
    <t>This field acts as a conscious decision indicator for the MOC Coordinator to confirm that all approvals have been received to the MOC Coordinator's satisfaction and/or in line with company MOC</t>
  </si>
  <si>
    <r>
      <rPr>
        <b/>
        <sz val="11"/>
        <color theme="1"/>
        <rFont val="Calibri"/>
        <family val="2"/>
      </rPr>
      <t>Tooltip:</t>
    </r>
    <r>
      <rPr>
        <sz val="11"/>
        <color theme="1"/>
        <rFont val="Calibri"/>
        <family val="2"/>
      </rPr>
      <t xml:space="preserve"> Set this field to "Yes" if all approvals have been received to the MOC Coordinator's satisfaction and/or in line with company MOC policies. The MOC Coordinator may reference the completion
status of any approvals to help with this decision.The workflow cannot proceed unless this field is set to "Yes".</t>
    </r>
  </si>
  <si>
    <t>This field is used to record notes during the Evaluation stage of an MOC.</t>
  </si>
  <si>
    <t>Design &amp; Analysis Details</t>
  </si>
  <si>
    <t>A field to describe the alternatives considered during the design phase of the change request.</t>
  </si>
  <si>
    <r>
      <rPr>
        <b/>
        <sz val="11"/>
        <color theme="1"/>
        <rFont val="Calibri"/>
        <family val="2"/>
      </rPr>
      <t>Tooltip:</t>
    </r>
    <r>
      <rPr>
        <sz val="11"/>
        <color theme="1"/>
        <rFont val="Calibri"/>
        <family val="2"/>
      </rPr>
      <t xml:space="preserve"> Please enter details for any alternatives considered during the design process. You may also attach supporting documents in the "Private Document Attachment" grid below and reference them in this field.</t>
    </r>
  </si>
  <si>
    <t>This field acts as a conscious decision indicator for the MOC Coordinator to confirm that the Impact and Hazard Assessment has been completed to their satisfaction.</t>
  </si>
  <si>
    <r>
      <rPr>
        <b/>
        <sz val="11"/>
        <color theme="1"/>
        <rFont val="Calibri"/>
        <family val="2"/>
      </rPr>
      <t>Tooltip:</t>
    </r>
    <r>
      <rPr>
        <sz val="11"/>
        <color theme="1"/>
        <rFont val="Calibri"/>
        <family val="2"/>
      </rPr>
      <t xml:space="preserve"> Set this field to "Yes" if Impact/Hazard assessment has been completed to the MOC Coordinator's satisfaction. The MOC Coordinator may reference the completion status of any Impact/Hazard
Assessment tasks to help with this decision. The workflow cannot proceed unless this field is set to "Yes".</t>
    </r>
  </si>
  <si>
    <t>This field acts as a conscious decision indicator for the MOC Coordinator to confirm that critical design action items have been completed to their satisfaction.</t>
  </si>
  <si>
    <r>
      <rPr>
        <b/>
        <sz val="11"/>
        <color theme="1"/>
        <rFont val="Calibri"/>
        <family val="2"/>
      </rPr>
      <t>Tooltip:</t>
    </r>
    <r>
      <rPr>
        <sz val="11"/>
        <color theme="1"/>
        <rFont val="Calibri"/>
        <family val="2"/>
      </rPr>
      <t xml:space="preserve"> Set this field to "Yes" if all critical design action items have been completed to the MOC Coordinator's satisfaction. The MOC Coordinator may reference the completion status of any Design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</si>
  <si>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all documentation has been completed and is updated to the MOC Coordinator's satisfaction. The MOC Coordinator may reference the completion status of any Documentation tasks to help with this decision.</t>
    </r>
  </si>
  <si>
    <t>This field is used to record notes during the Design &amp; Analysis stage of an MOC.</t>
  </si>
  <si>
    <t>Implementation Details</t>
  </si>
  <si>
    <t>This field acts as a conscious decision indicator for the MOC Coordinator to confirm that any Pre Startup Safety Reviews have been completed to their satisfaction.</t>
  </si>
  <si>
    <r>
      <rPr>
        <b/>
        <sz val="11"/>
        <color theme="1"/>
        <rFont val="Calibri"/>
        <family val="2"/>
      </rPr>
      <t>Tooltip:</t>
    </r>
    <r>
      <rPr>
        <sz val="11"/>
        <color theme="1"/>
        <rFont val="Calibri"/>
        <family val="2"/>
      </rPr>
      <t xml:space="preserve"> Set this field to "Yes" if any Pre Startup Safety Reviews (PSSR) have been completed as required to the MOC Coordinator's satisfaction. The MOC Coordinator may reference the completion
status of any items in the Pre Startup Safety Reviews grid to help with this decision. The workflow cannot proceed unless this field is set to "Yes".</t>
    </r>
  </si>
  <si>
    <t>This field acts as a conscious decision indicator for the MOC Coordinator to confirm that all required trainings have been completed for all applicable stakeholders to their satisfaction.</t>
  </si>
  <si>
    <r>
      <rPr>
        <b/>
        <sz val="11"/>
        <color theme="1"/>
        <rFont val="Calibri"/>
        <family val="2"/>
      </rPr>
      <t>Tooltip:</t>
    </r>
    <r>
      <rPr>
        <sz val="11"/>
        <color theme="1"/>
        <rFont val="Calibri"/>
        <family val="2"/>
      </rPr>
      <t xml:space="preserve"> Set this field to "Yes" if all necessary trainings have been completed for all applicable stakeholders to the MOC Coordinator's satisfaction. The MOC Coordinator may reference the completion
status of any Training tasks, or create new Training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</si>
  <si>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the required communications have been made to the applicable stakeholders. The MOC Coordinator may reference the completion status of any Change Communication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</si>
  <si>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Installation or Implementation of the change has been completed to the MOC Coordinator's satisfaction. The MOC Coordinator may reference the completion status of any
Installation/Implementation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</si>
  <si>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the Installation or Implementation of the change has been confirmed to the MOC Coordinator's satisfaction. The MOC Coordinator may reference the completion status of
any Installation/Implementation tasks, or create new Installation/Implementation tasks to help with this decision. The workflow cannot proceed unless this field is set to "Yes".</t>
    </r>
  </si>
  <si>
    <r>
      <rPr>
        <b/>
        <sz val="11"/>
        <color theme="1"/>
        <rFont val="Calibri"/>
        <family val="2"/>
      </rPr>
      <t>Tooltip:</t>
    </r>
    <r>
      <rPr>
        <sz val="11"/>
        <color theme="1"/>
        <rFont val="Calibri"/>
        <family val="2"/>
      </rPr>
      <t xml:space="preserve"> Set this field to "Yes" if all critical Pre Startup Safety Review (PSSR) action items have been completed to the MOC Coordinator's satisfaction. The MOC Coordinator may reference the completion
status of any PSSR tasks to help with this decision. The workflow cannot proceed unless this field is set to "Yes".</t>
    </r>
  </si>
  <si>
    <t>This field is used to record notes during the Implementation stage of an MOC.</t>
  </si>
  <si>
    <t>Mandatory in Pre-Approval</t>
  </si>
  <si>
    <t>Start-Up Details</t>
  </si>
  <si>
    <t>This field acts as a conscious decision indicator for the MOC Coordinator to confirm that Start Up has been completed to their satisfaction with the new change in place.</t>
  </si>
  <si>
    <r>
      <rPr>
        <b/>
        <sz val="11"/>
        <color theme="1"/>
        <rFont val="Calibri"/>
        <family val="2"/>
      </rPr>
      <t>Tooltip:</t>
    </r>
    <r>
      <rPr>
        <sz val="11"/>
        <color theme="1"/>
        <rFont val="Calibri"/>
        <family val="2"/>
      </rPr>
      <t xml:space="preserve"> Set this field to "Yes" if Start Up has been completed to the MOC Coordinator's satisfaction with the new change in place. The MOC Coordinator may reference the completion status of any Start
Up tasks to help with this decision. The workflow cannot proceed unless this field is set to "Yes".</t>
    </r>
  </si>
  <si>
    <t>This field acts as a conscious decision indicator for the MOC Coordinator to confirm that Start Up has been confirmed to their satisfaction with the new change in place.</t>
  </si>
  <si>
    <r>
      <rPr>
        <b/>
        <sz val="11"/>
        <color theme="1"/>
        <rFont val="Calibri"/>
        <family val="2"/>
      </rPr>
      <t>Tooltip:</t>
    </r>
    <r>
      <rPr>
        <sz val="11"/>
        <color theme="1"/>
        <rFont val="Calibri"/>
        <family val="2"/>
      </rPr>
      <t xml:space="preserve"> Set this field to "Yes" if Start Up has been confirmed to the MOC Coordinator's satisfaction with the new change in place. The MOC Coordinator may reference the completion status of any Start
Up tasks or create new Start Up tasks to help with this decision. The workflow cannot proceed unless this field is set to "Yes".</t>
    </r>
  </si>
  <si>
    <t>This field is used to record notes during the Start-Up stage of an MOC.</t>
  </si>
  <si>
    <t>Follow-Up Details</t>
  </si>
  <si>
    <t>This field acts as a conscious decision indicator for the MOC Coordinator to confirm that any temporary changes have been scheduled for review or permanent MOC process keeping in mind the
change expiry date.</t>
  </si>
  <si>
    <t>This field acts as a conscious decision indicator for the MOC Coordinator to confirm that all documentation has been completed and is up to date to their satisfaction.</t>
  </si>
  <si>
    <r>
      <rPr>
        <b/>
        <sz val="11"/>
        <color theme="1"/>
        <rFont val="Calibri"/>
        <family val="2"/>
      </rPr>
      <t>Tooltip:</t>
    </r>
    <r>
      <rPr>
        <sz val="11"/>
        <color theme="1"/>
        <rFont val="Calibri"/>
        <family val="2"/>
      </rPr>
      <t xml:space="preserve"> Set this field to "Yes" if any temporary MOCs have been scheduled for review or permanent MOC process. The MOC Coordinator may reference the completion status of any MOC Process tasks,
or create new MOC Process tasks to help with this decision. For temporary changes, the workflow cannot be closed unless this field is set to "Yes".</t>
    </r>
  </si>
  <si>
    <t>A field to let the MOC Coordinator indicate compliance or non-compliance with MOC procedures.</t>
  </si>
  <si>
    <r>
      <rPr>
        <b/>
        <sz val="11"/>
        <color theme="1"/>
        <rFont val="Calibri"/>
        <family val="2"/>
      </rPr>
      <t>Tooltip:</t>
    </r>
    <r>
      <rPr>
        <sz val="11"/>
        <color theme="1"/>
        <rFont val="Calibri"/>
        <family val="2"/>
      </rPr>
      <t xml:space="preserve"> Indicate whether the MOC procedures were followed for this change. Feedback from this field may be used to modify the MOC process as required.</t>
    </r>
  </si>
  <si>
    <t>This is a field to allow the MOC Coordinator to describe the overall effectiveness of the MOC process and provide any feedback on how the process can be improved.</t>
  </si>
  <si>
    <r>
      <rPr>
        <b/>
        <sz val="11"/>
        <color theme="1"/>
        <rFont val="Calibri"/>
        <family val="2"/>
      </rPr>
      <t>Tooltip:</t>
    </r>
    <r>
      <rPr>
        <sz val="11"/>
        <color theme="1"/>
        <rFont val="Calibri"/>
        <family val="2"/>
      </rPr>
      <t xml:space="preserve"> Describe the effectiveness of the MOC process and include any feedback about how the process can be improved. Feedback from this field may be used to modify the MOC process as required.</t>
    </r>
  </si>
  <si>
    <t>This field is used to record notes during the Follow up stage of an MOC.</t>
  </si>
  <si>
    <t>This field lists any changes which are related to the selected MOC.</t>
  </si>
  <si>
    <r>
      <t xml:space="preserve">M:M Relationship to </t>
    </r>
    <r>
      <rPr>
        <i/>
        <sz val="11"/>
        <color theme="1"/>
        <rFont val="Calibri"/>
        <family val="2"/>
      </rPr>
      <t>MOC</t>
    </r>
    <r>
      <rPr>
        <sz val="11"/>
        <color theme="1"/>
        <rFont val="Calibri"/>
        <family val="2"/>
      </rPr>
      <t xml:space="preserve"> object
</t>
    </r>
    <r>
      <rPr>
        <b/>
        <sz val="11"/>
        <color theme="1"/>
        <rFont val="Calibri"/>
        <family val="2"/>
      </rPr>
      <t>Columns</t>
    </r>
    <r>
      <rPr>
        <sz val="11"/>
        <color theme="1"/>
        <rFont val="Calibri"/>
        <family val="2"/>
      </rPr>
      <t>: MOC No. | Change Description | Emergency Change? | Replacement in Kind? | Temporary Change? | Change Impact | Status</t>
    </r>
  </si>
  <si>
    <t>Attachments</t>
  </si>
  <si>
    <t>System field</t>
  </si>
  <si>
    <t>This section lists all of the Tasks created during an MOC, grouped together by the workflow stage the task was assigned.</t>
  </si>
  <si>
    <t>This section lists all of the Screening Questions used in the MOC, grouped together by workflow stage.</t>
  </si>
  <si>
    <t>This section lists all of the Approvals used in the MOC, grouped together by workflow stage</t>
  </si>
  <si>
    <t>Read Only in Pre-Approval</t>
  </si>
  <si>
    <t>Mandatory in Evaluation</t>
  </si>
  <si>
    <t>Read Only in Evaluation</t>
  </si>
  <si>
    <t>Mandatory in Design &amp; Analysis</t>
  </si>
  <si>
    <t>Read Only in Design &amp; Analysis</t>
  </si>
  <si>
    <t>Mandatory in Implementation</t>
  </si>
  <si>
    <t>Read Only in Implementation</t>
  </si>
  <si>
    <t>Mandatory in Start-Up</t>
  </si>
  <si>
    <t>Read Only in Start-Up</t>
  </si>
  <si>
    <t>Mandatory in Follow-Up</t>
  </si>
  <si>
    <t>Read Only in Follow-Up</t>
  </si>
  <si>
    <t>Screening Question Details</t>
  </si>
  <si>
    <t>Mandatory in Create</t>
  </si>
  <si>
    <t>Description of the checklist item. Checklist items are framed as objective questions to which respondents can easily answer Yes/No to.</t>
  </si>
  <si>
    <r>
      <rPr>
        <b/>
        <sz val="11"/>
        <color theme="1"/>
        <rFont val="Calibri"/>
        <family val="2"/>
        <scheme val="minor"/>
      </rPr>
      <t>Tooltip</t>
    </r>
    <r>
      <rPr>
        <sz val="11"/>
        <color theme="1"/>
        <rFont val="Calibri"/>
        <family val="2"/>
        <scheme val="minor"/>
      </rPr>
      <t>: Description of the checklist item. Checklist items are framed as objective questions to which respondents can easily answer Yes/No to.</t>
    </r>
  </si>
  <si>
    <t>Category of the Checklist Item. Checklist items in the MOC appear grouped by these categories.</t>
  </si>
  <si>
    <r>
      <rPr>
        <b/>
        <sz val="11"/>
        <color theme="1"/>
        <rFont val="Calibri"/>
        <family val="2"/>
        <scheme val="minor"/>
      </rPr>
      <t>Tooltip</t>
    </r>
    <r>
      <rPr>
        <sz val="11"/>
        <color theme="1"/>
        <rFont val="Calibri"/>
        <family val="2"/>
        <scheme val="minor"/>
      </rPr>
      <t>: Category of the Checklist Item. Checklist items in the MOC appear grouped by these categories.</t>
    </r>
  </si>
  <si>
    <t>User defined alpha numeric value</t>
  </si>
  <si>
    <t>System Field</t>
  </si>
  <si>
    <r>
      <t xml:space="preserve">1:M relation to </t>
    </r>
    <r>
      <rPr>
        <i/>
        <sz val="11"/>
        <color theme="1"/>
        <rFont val="Calibri"/>
        <family val="2"/>
      </rPr>
      <t>MOC</t>
    </r>
    <r>
      <rPr>
        <sz val="11"/>
        <color theme="1"/>
        <rFont val="Calibri"/>
        <family val="2"/>
      </rPr>
      <t xml:space="preserve"> object</t>
    </r>
  </si>
  <si>
    <t>Read Only in Create</t>
  </si>
  <si>
    <t>Ready Only in Draft</t>
  </si>
  <si>
    <t>MOC Process Task Details</t>
  </si>
  <si>
    <t>System</t>
  </si>
  <si>
    <r>
      <t xml:space="preserve">M:1 relation to </t>
    </r>
    <r>
      <rPr>
        <i/>
        <sz val="11"/>
        <color theme="1"/>
        <rFont val="Calibri"/>
        <family val="2"/>
      </rPr>
      <t>Subject</t>
    </r>
    <r>
      <rPr>
        <sz val="11"/>
        <color theme="1"/>
        <rFont val="Calibri"/>
        <family val="2"/>
      </rPr>
      <t xml:space="preserve"> object</t>
    </r>
  </si>
  <si>
    <t>This field indicates which MOC the task is related to.</t>
  </si>
  <si>
    <t>Change Communication Task Details</t>
  </si>
  <si>
    <t>Ready Only in In Progress</t>
  </si>
  <si>
    <t>Checklist Task Details</t>
  </si>
  <si>
    <t>Documentation Task Details</t>
  </si>
  <si>
    <t>Impact/Hazard Assessment Task Details</t>
  </si>
  <si>
    <t>PSSR Task Details</t>
  </si>
  <si>
    <t>Training Task Details</t>
  </si>
  <si>
    <t>Engineering Approval Details</t>
  </si>
  <si>
    <t>Post-Save</t>
  </si>
  <si>
    <t>This field indicates which MOC the approval is related to.</t>
  </si>
  <si>
    <r>
      <t xml:space="preserve">1:M relation to </t>
    </r>
    <r>
      <rPr>
        <i/>
        <sz val="11"/>
        <color theme="1"/>
        <rFont val="Calibri"/>
        <family val="2"/>
      </rPr>
      <t>MOC</t>
    </r>
    <r>
      <rPr>
        <sz val="11"/>
        <color theme="1"/>
        <rFont val="Calibri"/>
        <family val="2"/>
      </rPr>
      <t xml:space="preserve"> object
MOC.Category</t>
    </r>
  </si>
  <si>
    <t>Environmental Approval Details</t>
  </si>
  <si>
    <t>Financial Approval Details</t>
  </si>
  <si>
    <t>Risk Management Approval Details</t>
  </si>
  <si>
    <t>Safety Approval Details</t>
  </si>
  <si>
    <t>Start Up Approval Details</t>
  </si>
  <si>
    <t xml:space="preserve"> </t>
  </si>
  <si>
    <t>Grouped By</t>
  </si>
  <si>
    <t>List of MOCs
Add Entry and Archive buttons are hidden</t>
  </si>
  <si>
    <t>Create, Edit, Delete, View</t>
  </si>
  <si>
    <t>MOC, Description, Stage</t>
  </si>
  <si>
    <t>Workflow, Type</t>
  </si>
  <si>
    <t>Workflow, Approval Type</t>
  </si>
  <si>
    <t>To: {#ChangeRequester}
The following MOC has been cancelled:
Module: Management of Change
Location: {#Location}
Status : Cancelled
Change Description: {#ChanDescription}
Emergency Change : {#EmergencyChange}
Replacement in kind : {#ReplacemeinKind}
Temporary Change: {#TemporaryChange}
Change Impact: {#ChangeImpact}
MOC Category: {#Category}
Requested Change Date: {#RequeChangeDate}
Cancellation Date: {#Workflow.DateModified}
--------------------------------------------------------
Please login to view full details of the report.</t>
  </si>
  <si>
    <t>To: {#Workflow.PersonResponsible.Name}
You are responsible for completing the following activity that has been scheduled within Intelex. Please Complete/Reject it till {#Workflow.DueDate}.
Module: Management of Change
Location: {#Location}
Status : In Progress
MOC: {#MOC.ChanDescription}
Stage: {#MOC.Workflow.CurrentStage.Name}
Category: {#MOC.Category}
Task Description: {#Name}
Created By: {#CreatedBy.FullName}
--------------------------------------------------------
Please login to view full details of the report.</t>
  </si>
  <si>
    <t>To: {#CreatedBy.FullName}
A task that you scheduled has been rejected on {#CompletionRDate} within Intelex.
Module: Management of Change
Location: {#Location}
Status : Draft
MOC: {#MOC.ChanDescription}
Stage: {#MOC.Workflow.CurrentStage.Name}
Category: {#MOC.Category}
Task Description: {#Name}
Rejection Comment: {#Comments}
--------------------------------------------------------
Please login to view full details of the report.</t>
  </si>
  <si>
    <t>To: {#CreatedBy.FullName}
A task that you scheduled has been closed by {#Workflow.PersonResponsible.Name} on {#CompletionRDate}.
Module: Management of Change
Location: {#Location}
Status : Closed
MOC: {#MOC.ChanDescription}
Stage: {#MOC.Workflow.CurrentStage.Name}
Category:  {#MOC.Category}
Task Description: {#Name}
Comment: {#Comments}
--------------------------------------------------------
Please login to view full details of the report.</t>
  </si>
  <si>
    <t>To: {#Workflow.PersonResponsible.Name}
You are responsible for completing the following Approval that has been scheduled within Intelex. Please Complete/Reject it till {#Workflow.DueDate}.
Module: Management of Change
Location: {#Location}
Status : In Progress
MOC: {#MOC.ChanDescription}
Stage: {#MOC.Workflow.CurrentStage.Name}
Category: {#MOC.Category}
Approval Description: {#ApprDescription}
Created By: {#CreatedBy.FullName}
--------------------------------------------------------
Please login to view full details of the report.</t>
  </si>
  <si>
    <t>To: {#CreatedBy.FullName}
An approval that you scheduled has been closed by {#Workflow.PersonResponsible.Name} on {#ApprovalDate}.
Module: Management of Change
Location: {#Location}
Status: Closed
MOC: {#MOC.ChanDescription}
Stage: {#MOC.Workflow.CurrentStage.Name}
Category:  {#MOC.Category}
Approval Description: {#ApprDescription}
Approval Decision: {#ApprovaDecision}
Comment: {#ApprovalComment}
--------------------------------------------------------
Please login to view full details of the report.</t>
  </si>
  <si>
    <t>Recipient(s) : Person Responsible
Prior to transitioning to next stage, 'Target Date' must be on or after Today</t>
  </si>
  <si>
    <t>Role/Person Responsible (Field)</t>
  </si>
  <si>
    <r>
      <rPr>
        <b/>
        <sz val="11"/>
        <color theme="1"/>
        <rFont val="Calibri"/>
        <family val="2"/>
      </rPr>
      <t>Tooltip</t>
    </r>
    <r>
      <rPr>
        <sz val="11"/>
        <color theme="1"/>
        <rFont val="Calibri"/>
        <family val="2"/>
      </rPr>
      <t>: Auto-generated Intelex record number for the proposed change</t>
    </r>
  </si>
  <si>
    <r>
      <rPr>
        <b/>
        <sz val="11"/>
        <color theme="1"/>
        <rFont val="Calibri"/>
        <family val="2"/>
      </rPr>
      <t>Tooltip</t>
    </r>
    <r>
      <rPr>
        <sz val="11"/>
        <color theme="1"/>
        <rFont val="Calibri"/>
        <family val="2"/>
      </rPr>
      <t>: Please enter the description of the proposed change, including any reasoning, context, technical basis and business value. Additionally, please write in any stakeholders or systems that may be affected. Finally, please describe the justification of the emergency, replacement in kind and temporary categorizations of this proposed change.</t>
    </r>
  </si>
  <si>
    <t>Change expiry is mandatory for temporary changes.</t>
  </si>
  <si>
    <r>
      <rPr>
        <b/>
        <sz val="11"/>
        <color theme="1"/>
        <rFont val="Calibri"/>
        <family val="2"/>
      </rPr>
      <t>Tooltip</t>
    </r>
    <r>
      <rPr>
        <sz val="11"/>
        <color theme="1"/>
        <rFont val="Calibri"/>
        <family val="2"/>
      </rPr>
      <t xml:space="preserve">: Change expiry is mandatory for temporary changes.
</t>
    </r>
    <r>
      <rPr>
        <b/>
        <sz val="11"/>
        <color theme="1"/>
        <rFont val="Calibri"/>
        <family val="2"/>
      </rPr>
      <t>Hint</t>
    </r>
    <r>
      <rPr>
        <sz val="11"/>
        <color theme="1"/>
        <rFont val="Calibri"/>
        <family val="2"/>
      </rPr>
      <t>: Expiry date may not exceed 180 days from date of change initiation.</t>
    </r>
  </si>
  <si>
    <t xml:space="preserve">Change Expiry field value is not cleared when Temporary Change is toggled back to No </t>
  </si>
  <si>
    <t>View Action: Show If Temporary Change is TRUE, Else Hide Field</t>
  </si>
  <si>
    <r>
      <rPr>
        <b/>
        <sz val="11"/>
        <color theme="1"/>
        <rFont val="Calibri"/>
        <family val="2"/>
      </rPr>
      <t>Lookup:</t>
    </r>
    <r>
      <rPr>
        <sz val="11"/>
        <color theme="1"/>
        <rFont val="Calibri"/>
        <family val="2"/>
      </rPr>
      <t xml:space="preserve"> L05 - MOC Priority
</t>
    </r>
  </si>
  <si>
    <t>Mandatory in In Closed</t>
  </si>
  <si>
    <t>Ready Only in In Closed</t>
  </si>
  <si>
    <r>
      <t xml:space="preserve">M:1 relation to </t>
    </r>
    <r>
      <rPr>
        <i/>
        <sz val="11"/>
        <color theme="1"/>
        <rFont val="Calibri"/>
        <family val="2"/>
      </rPr>
      <t>Workflow Stage</t>
    </r>
  </si>
  <si>
    <t>This field is used in Custom Action Handler. The value of this field is set by action hander on MOC Task Object.
(M:1 Relation).</t>
  </si>
  <si>
    <t>The date which an MOC task was completed or rejected.</t>
  </si>
  <si>
    <r>
      <rPr>
        <b/>
        <sz val="11"/>
        <color theme="1"/>
        <rFont val="Calibri"/>
        <family val="2"/>
        <scheme val="minor"/>
      </rPr>
      <t>Tooltip</t>
    </r>
    <r>
      <rPr>
        <sz val="11"/>
        <color theme="1"/>
        <rFont val="Calibri"/>
        <family val="2"/>
        <scheme val="minor"/>
      </rPr>
      <t>: The date which an MOC task was completed or rejected.</t>
    </r>
  </si>
  <si>
    <r>
      <rPr>
        <b/>
        <sz val="11"/>
        <color theme="1"/>
        <rFont val="Calibri"/>
        <family val="2"/>
        <scheme val="minor"/>
      </rPr>
      <t>Tooltip</t>
    </r>
    <r>
      <rPr>
        <sz val="11"/>
        <color theme="1"/>
        <rFont val="Calibri"/>
        <family val="2"/>
        <scheme val="minor"/>
      </rPr>
      <t>: The date when the action is due.</t>
    </r>
  </si>
  <si>
    <t>The date when the action is due.</t>
  </si>
  <si>
    <t>This field is used to select category for a new MOC.</t>
  </si>
  <si>
    <r>
      <rPr>
        <b/>
        <sz val="11"/>
        <color theme="1"/>
        <rFont val="Calibri"/>
        <family val="2"/>
        <scheme val="minor"/>
      </rPr>
      <t>Tooltip</t>
    </r>
    <r>
      <rPr>
        <sz val="11"/>
        <color theme="1"/>
        <rFont val="Calibri"/>
        <family val="2"/>
        <scheme val="minor"/>
      </rPr>
      <t>: The MOC category this change is related to.</t>
    </r>
  </si>
  <si>
    <t>Name and description of the task to be applied.</t>
  </si>
  <si>
    <r>
      <rPr>
        <b/>
        <sz val="11"/>
        <color theme="1"/>
        <rFont val="Calibri"/>
        <family val="2"/>
        <scheme val="minor"/>
      </rPr>
      <t>Tooltip</t>
    </r>
    <r>
      <rPr>
        <sz val="11"/>
        <color theme="1"/>
        <rFont val="Calibri"/>
        <family val="2"/>
        <scheme val="minor"/>
      </rPr>
      <t>: Name and description of the task to be applied.</t>
    </r>
  </si>
  <si>
    <t>This field is used to assign either a person or a role to be responsible for an approval.</t>
  </si>
  <si>
    <r>
      <rPr>
        <b/>
        <sz val="11"/>
        <color theme="1"/>
        <rFont val="Calibri"/>
        <family val="2"/>
        <scheme val="minor"/>
      </rPr>
      <t>Tooltip</t>
    </r>
    <r>
      <rPr>
        <sz val="11"/>
        <color theme="1"/>
        <rFont val="Calibri"/>
        <family val="2"/>
        <scheme val="minor"/>
      </rPr>
      <t>: The person or role responsible for completing a task.</t>
    </r>
  </si>
  <si>
    <t>This field is used to describe the reasoning behind the approval decision made.</t>
  </si>
  <si>
    <r>
      <rPr>
        <b/>
        <sz val="11"/>
        <color theme="1"/>
        <rFont val="Calibri"/>
        <family val="2"/>
        <scheme val="minor"/>
      </rPr>
      <t>Tooltip</t>
    </r>
    <r>
      <rPr>
        <sz val="11"/>
        <color theme="1"/>
        <rFont val="Calibri"/>
        <family val="2"/>
        <scheme val="minor"/>
      </rPr>
      <t>: The person or role responsible for completing an approval.</t>
    </r>
  </si>
  <si>
    <r>
      <rPr>
        <b/>
        <sz val="11"/>
        <color theme="1"/>
        <rFont val="Calibri"/>
        <family val="2"/>
        <scheme val="minor"/>
      </rPr>
      <t>Tooltip</t>
    </r>
    <r>
      <rPr>
        <sz val="11"/>
        <color theme="1"/>
        <rFont val="Calibri"/>
        <family val="2"/>
        <scheme val="minor"/>
      </rPr>
      <t>: A description of the approval required.</t>
    </r>
  </si>
  <si>
    <t>This field denotes the date which the approval must be completed by.</t>
  </si>
  <si>
    <r>
      <rPr>
        <b/>
        <sz val="11"/>
        <color theme="1"/>
        <rFont val="Calibri"/>
        <family val="2"/>
        <scheme val="minor"/>
      </rPr>
      <t>Tooltip</t>
    </r>
    <r>
      <rPr>
        <sz val="11"/>
        <color theme="1"/>
        <rFont val="Calibri"/>
        <family val="2"/>
        <scheme val="minor"/>
      </rPr>
      <t>: The date by which an approval must be completed by.</t>
    </r>
  </si>
  <si>
    <t>D</t>
  </si>
  <si>
    <r>
      <rPr>
        <b/>
        <sz val="11"/>
        <color theme="1"/>
        <rFont val="Calibri"/>
        <family val="2"/>
      </rPr>
      <t>Default Value</t>
    </r>
    <r>
      <rPr>
        <sz val="11"/>
        <color theme="1"/>
        <rFont val="Calibri"/>
        <family val="2"/>
      </rPr>
      <t xml:space="preserve"> : Expression
</t>
    </r>
    <r>
      <rPr>
        <b/>
        <sz val="11"/>
        <color theme="1"/>
        <rFont val="Calibri"/>
        <family val="2"/>
      </rPr>
      <t>Expression</t>
    </r>
    <r>
      <rPr>
        <sz val="11"/>
        <color theme="1"/>
        <rFont val="Calibri"/>
        <family val="2"/>
      </rPr>
      <t>: IFERROR(TODAY+ApprviTemplate.DueDateDays,DueDate)</t>
    </r>
  </si>
  <si>
    <r>
      <t xml:space="preserve">M:1 relation to </t>
    </r>
    <r>
      <rPr>
        <i/>
        <sz val="11"/>
        <color theme="1"/>
        <rFont val="Calibri"/>
        <family val="2"/>
      </rPr>
      <t>Subject</t>
    </r>
    <r>
      <rPr>
        <sz val="11"/>
        <color theme="1"/>
        <rFont val="Calibri"/>
        <family val="2"/>
      </rPr>
      <t xml:space="preserve"> object
</t>
    </r>
    <r>
      <rPr>
        <b/>
        <sz val="11"/>
        <color theme="1"/>
        <rFont val="Calibri"/>
        <family val="2"/>
      </rPr>
      <t>Default Value</t>
    </r>
    <r>
      <rPr>
        <sz val="11"/>
        <color theme="1"/>
        <rFont val="Calibri"/>
        <family val="2"/>
      </rPr>
      <t xml:space="preserve"> : Expression
</t>
    </r>
    <r>
      <rPr>
        <b/>
        <sz val="11"/>
        <color theme="1"/>
        <rFont val="Calibri"/>
        <family val="2"/>
      </rPr>
      <t>Expression</t>
    </r>
    <r>
      <rPr>
        <sz val="11"/>
        <color theme="1"/>
        <rFont val="Calibri"/>
        <family val="2"/>
      </rPr>
      <t>: ApprviTemplate.SubjectResp.Name</t>
    </r>
  </si>
  <si>
    <t>Read Only in In Progress</t>
  </si>
  <si>
    <r>
      <rPr>
        <b/>
        <sz val="11"/>
        <color theme="1"/>
        <rFont val="Calibri"/>
        <family val="2"/>
      </rPr>
      <t>Max Length</t>
    </r>
    <r>
      <rPr>
        <sz val="11"/>
        <color theme="1"/>
        <rFont val="Calibri"/>
        <family val="2"/>
      </rPr>
      <t>: 250</t>
    </r>
  </si>
  <si>
    <t>This field is used to record the approval decision made.</t>
  </si>
  <si>
    <t>Date of Approval.</t>
  </si>
  <si>
    <t>This field is used to add any comments related to the change approval.</t>
  </si>
  <si>
    <t>Create, Draft, In Progress</t>
  </si>
  <si>
    <t>Approval Tasks - Approval Decision, Completion Date, Comment fields do not clear values if the Accept Approval Task field is interchanged</t>
  </si>
  <si>
    <r>
      <t xml:space="preserve">M:1 relation to </t>
    </r>
    <r>
      <rPr>
        <i/>
        <sz val="11"/>
        <color theme="1"/>
        <rFont val="Calibri"/>
        <family val="2"/>
      </rPr>
      <t>MOC</t>
    </r>
    <r>
      <rPr>
        <sz val="11"/>
        <color theme="1"/>
        <rFont val="Calibri"/>
        <family val="2"/>
      </rPr>
      <t xml:space="preserve"> object</t>
    </r>
  </si>
  <si>
    <t>Workflow to which Approvals applies. (M:1 Relation)</t>
  </si>
  <si>
    <t>Intelex record number for the screening question</t>
  </si>
  <si>
    <r>
      <rPr>
        <b/>
        <sz val="11"/>
        <color theme="1"/>
        <rFont val="Calibri"/>
        <family val="2"/>
      </rPr>
      <t>Max Length</t>
    </r>
    <r>
      <rPr>
        <sz val="11"/>
        <color theme="1"/>
        <rFont val="Calibri"/>
        <family val="2"/>
      </rPr>
      <t>: 255</t>
    </r>
  </si>
  <si>
    <r>
      <rPr>
        <b/>
        <sz val="11"/>
        <color theme="1"/>
        <rFont val="Calibri"/>
        <family val="2"/>
        <scheme val="minor"/>
      </rPr>
      <t>Tooltip</t>
    </r>
    <r>
      <rPr>
        <sz val="11"/>
        <color theme="1"/>
        <rFont val="Calibri"/>
        <family val="2"/>
        <scheme val="minor"/>
      </rPr>
      <t>: The MOC categories this screening question is relevant to.</t>
    </r>
  </si>
  <si>
    <t>Categories to which Screening Questions applies. It is Mandatory Field. (M:M RELATION</t>
  </si>
  <si>
    <r>
      <t xml:space="preserve">M:M relation to </t>
    </r>
    <r>
      <rPr>
        <i/>
        <sz val="11"/>
        <color theme="1"/>
        <rFont val="Calibri"/>
        <family val="2"/>
      </rPr>
      <t>MOC Category</t>
    </r>
    <r>
      <rPr>
        <sz val="11"/>
        <color theme="1"/>
        <rFont val="Calibri"/>
        <family val="2"/>
      </rPr>
      <t xml:space="preserve"> object
</t>
    </r>
  </si>
  <si>
    <t>MOC Change Impacts to which this screening question applies.</t>
  </si>
  <si>
    <r>
      <rPr>
        <b/>
        <sz val="11"/>
        <color theme="1"/>
        <rFont val="Calibri"/>
        <family val="2"/>
        <scheme val="minor"/>
      </rPr>
      <t>Tooltip</t>
    </r>
    <r>
      <rPr>
        <sz val="11"/>
        <color theme="1"/>
        <rFont val="Calibri"/>
        <family val="2"/>
        <scheme val="minor"/>
      </rPr>
      <t>: MOC Change Impacts to which this screening question applies.</t>
    </r>
  </si>
  <si>
    <t>Decides under which Emergency change conditions the screening question is asked</t>
  </si>
  <si>
    <r>
      <rPr>
        <b/>
        <sz val="11"/>
        <color theme="1"/>
        <rFont val="Calibri"/>
        <family val="2"/>
        <scheme val="minor"/>
      </rPr>
      <t>Tooltip</t>
    </r>
    <r>
      <rPr>
        <sz val="11"/>
        <color theme="1"/>
        <rFont val="Calibri"/>
        <family val="2"/>
        <scheme val="minor"/>
      </rPr>
      <t>: Select Yes if screening question is only to be asked when the Emergency Change field in the MOC is set to Yes.
Select No if screening question is only to be asked when the Emergency Change field in the MOC is set to No.
Leave blank (null) if screening question is to be asked regardless of the value of the Emergency Change field in the MOC.</t>
    </r>
  </si>
  <si>
    <t>Decides under which Replacement in Kind conditions the screening question is asked</t>
  </si>
  <si>
    <r>
      <rPr>
        <b/>
        <sz val="11"/>
        <color theme="1"/>
        <rFont val="Calibri"/>
        <family val="2"/>
        <scheme val="minor"/>
      </rPr>
      <t>Tooltip</t>
    </r>
    <r>
      <rPr>
        <sz val="11"/>
        <color theme="1"/>
        <rFont val="Calibri"/>
        <family val="2"/>
        <scheme val="minor"/>
      </rPr>
      <t>: Select Yes if screening question is only to be asked when the Replacement in Kind field in the MOC is set to Yes.
Select No if screening question is only to be asked when the Replacement in Kind field in the MOC is set to No.
Leave blank (null) if screening question is to be asked regardless of the value of the Replacement in Kind field in the MOC.</t>
    </r>
  </si>
  <si>
    <t>Decides under which Temporary change conditions the screening question is asked</t>
  </si>
  <si>
    <r>
      <rPr>
        <b/>
        <sz val="11"/>
        <color theme="1"/>
        <rFont val="Calibri"/>
        <family val="2"/>
        <scheme val="minor"/>
      </rPr>
      <t>Tooltip</t>
    </r>
    <r>
      <rPr>
        <sz val="11"/>
        <color theme="1"/>
        <rFont val="Calibri"/>
        <family val="2"/>
        <scheme val="minor"/>
      </rPr>
      <t>: Select Yes if screening question is only to be asked when the Temporary Change field in the MOC is set to Yes.
Select No if screening question is only to be asked when the Temporary Change field in the MOC is set to No.
Leave blank (null) if screening question is to be asked regardless of the value of the Temporary Change field in the MOC.</t>
    </r>
  </si>
  <si>
    <r>
      <rPr>
        <b/>
        <sz val="11"/>
        <color theme="1"/>
        <rFont val="Calibri"/>
        <family val="2"/>
        <scheme val="minor"/>
      </rPr>
      <t>Tooltip</t>
    </r>
    <r>
      <rPr>
        <sz val="11"/>
        <color theme="1"/>
        <rFont val="Calibri"/>
        <family val="2"/>
        <scheme val="minor"/>
      </rPr>
      <t>: An alpha-numeric designation to order screening questions.</t>
    </r>
  </si>
  <si>
    <r>
      <t xml:space="preserve">M:M relation to </t>
    </r>
    <r>
      <rPr>
        <i/>
        <sz val="11"/>
        <color theme="1"/>
        <rFont val="Calibri"/>
        <family val="2"/>
      </rPr>
      <t>Location</t>
    </r>
    <r>
      <rPr>
        <sz val="11"/>
        <color theme="1"/>
        <rFont val="Calibri"/>
        <family val="2"/>
      </rPr>
      <t xml:space="preserve"> object</t>
    </r>
  </si>
  <si>
    <t>Locations to which this screening question applies. Screening questions are hierarchical, so if you choose a location, the question will be applied to all locations downstream.</t>
  </si>
  <si>
    <t>Instructions</t>
  </si>
  <si>
    <t>Instructions field to display text in the detail view</t>
  </si>
  <si>
    <r>
      <rPr>
        <b/>
        <sz val="11"/>
        <color theme="1"/>
        <rFont val="Calibri"/>
        <family val="2"/>
      </rPr>
      <t>Value</t>
    </r>
    <r>
      <rPr>
        <sz val="11"/>
        <color theme="1"/>
        <rFont val="Calibri"/>
        <family val="2"/>
      </rPr>
      <t xml:space="preserve">: </t>
    </r>
    <r>
      <rPr>
        <i/>
        <sz val="11"/>
        <color theme="1"/>
        <rFont val="Calibri"/>
        <family val="2"/>
      </rPr>
      <t>Please attach at least one location to this checklist item to automatically generate checklist items for MOCs at that location or below.</t>
    </r>
  </si>
  <si>
    <r>
      <rPr>
        <b/>
        <sz val="11"/>
        <color theme="1"/>
        <rFont val="Calibri"/>
        <family val="2"/>
      </rPr>
      <t>Value</t>
    </r>
    <r>
      <rPr>
        <sz val="11"/>
        <color theme="1"/>
        <rFont val="Calibri"/>
        <family val="2"/>
      </rPr>
      <t xml:space="preserve">: </t>
    </r>
    <r>
      <rPr>
        <i/>
        <sz val="11"/>
        <color theme="1"/>
        <rFont val="Calibri"/>
        <family val="2"/>
      </rPr>
      <t>Please fill in the MOC Tasks criteria above and then save your work. After saving, make sure at least one location is attached to the grid to automatically generate tasks for MOCs at that location or below.</t>
    </r>
  </si>
  <si>
    <t>The task type to be created in the MOC. A task will be created of the specified type (child object inheriting from Abstract MOC Task).</t>
  </si>
  <si>
    <r>
      <rPr>
        <b/>
        <sz val="11"/>
        <color theme="1"/>
        <rFont val="Calibri"/>
        <family val="2"/>
        <scheme val="minor"/>
      </rPr>
      <t>Tooltip</t>
    </r>
    <r>
      <rPr>
        <sz val="11"/>
        <color theme="1"/>
        <rFont val="Calibri"/>
        <family val="2"/>
        <scheme val="minor"/>
      </rPr>
      <t>: The task type to be created in the MOC.</t>
    </r>
  </si>
  <si>
    <t>Categories to which Tasks applies. It is Mandatory Field.</t>
  </si>
  <si>
    <r>
      <rPr>
        <b/>
        <sz val="11"/>
        <color theme="1"/>
        <rFont val="Calibri"/>
        <family val="2"/>
        <scheme val="minor"/>
      </rPr>
      <t>Tooltip</t>
    </r>
    <r>
      <rPr>
        <sz val="11"/>
        <color theme="1"/>
        <rFont val="Calibri"/>
        <family val="2"/>
        <scheme val="minor"/>
      </rPr>
      <t>: The MOC categories this task is relevant to.</t>
    </r>
  </si>
  <si>
    <t>Stages to which Tasks applies.</t>
  </si>
  <si>
    <r>
      <rPr>
        <b/>
        <sz val="11"/>
        <color theme="1"/>
        <rFont val="Calibri"/>
        <family val="2"/>
        <scheme val="minor"/>
      </rPr>
      <t>Tooltip</t>
    </r>
    <r>
      <rPr>
        <sz val="11"/>
        <color theme="1"/>
        <rFont val="Calibri"/>
        <family val="2"/>
        <scheme val="minor"/>
      </rPr>
      <t>: The stage(s) of a workflow this task is assigned for.</t>
    </r>
  </si>
  <si>
    <t>MOC Change Impacts to which this task applies.</t>
  </si>
  <si>
    <r>
      <rPr>
        <b/>
        <sz val="11"/>
        <color theme="1"/>
        <rFont val="Calibri"/>
        <family val="2"/>
        <scheme val="minor"/>
      </rPr>
      <t>Tooltip</t>
    </r>
    <r>
      <rPr>
        <sz val="11"/>
        <color theme="1"/>
        <rFont val="Calibri"/>
        <family val="2"/>
        <scheme val="minor"/>
      </rPr>
      <t>: MOC Change Impacts to which this task applies.</t>
    </r>
  </si>
  <si>
    <r>
      <rPr>
        <b/>
        <sz val="11"/>
        <color theme="1"/>
        <rFont val="Calibri"/>
        <family val="2"/>
        <scheme val="minor"/>
      </rPr>
      <t>Tooltip</t>
    </r>
    <r>
      <rPr>
        <sz val="11"/>
        <color theme="1"/>
        <rFont val="Calibri"/>
        <family val="2"/>
        <scheme val="minor"/>
      </rPr>
      <t>: Select Yes if task is only to be created when the Emergency Change field in the MOC is set to Yes.
Select No if task is only to be created when the Emergency Change field in the MOC is set to No.
Leave blank (null) if task is to be created regardless of the value of the Emergency Change field in the MOC.</t>
    </r>
  </si>
  <si>
    <r>
      <rPr>
        <b/>
        <sz val="11"/>
        <color theme="1"/>
        <rFont val="Calibri"/>
        <family val="2"/>
        <scheme val="minor"/>
      </rPr>
      <t>Tooltip</t>
    </r>
    <r>
      <rPr>
        <sz val="11"/>
        <color theme="1"/>
        <rFont val="Calibri"/>
        <family val="2"/>
        <scheme val="minor"/>
      </rPr>
      <t>: Select Yes if task is only to be created when the Replacement in Kind field in the MOC is set to Yes.
Select No if task is only to be created when the Replacement in Kind field in the MOC is set to No.
Leave blank (null) if task is to be created regardless of the value of the Replacement in Kind field in the MOC.</t>
    </r>
  </si>
  <si>
    <t>Decides under which Replacement in Kind conditions the task is created</t>
  </si>
  <si>
    <t>Decides under which Emergency change conditions the task is created</t>
  </si>
  <si>
    <t>Decides under which Temporary change conditions the task is created</t>
  </si>
  <si>
    <r>
      <rPr>
        <b/>
        <sz val="11"/>
        <color theme="1"/>
        <rFont val="Calibri"/>
        <family val="2"/>
        <scheme val="minor"/>
      </rPr>
      <t>Tooltip</t>
    </r>
    <r>
      <rPr>
        <sz val="11"/>
        <color theme="1"/>
        <rFont val="Calibri"/>
        <family val="2"/>
        <scheme val="minor"/>
      </rPr>
      <t>: Select Yes if task is only to be created when the Temporary Change field in the MOC is set to Yes.
Select No if task is only to be created when the Temporary Change field in the MOC is set to No.
Leave blank (null) if task is to be created regardless of the value of the Temporary Change field in the MOC.</t>
    </r>
  </si>
  <si>
    <r>
      <rPr>
        <b/>
        <sz val="11"/>
        <color theme="1"/>
        <rFont val="Calibri"/>
        <family val="2"/>
        <scheme val="minor"/>
      </rPr>
      <t>Tooltip</t>
    </r>
    <r>
      <rPr>
        <sz val="11"/>
        <color theme="1"/>
        <rFont val="Calibri"/>
        <family val="2"/>
        <scheme val="minor"/>
      </rPr>
      <t>: Due Date today plus (days).</t>
    </r>
  </si>
  <si>
    <t>Instruction</t>
  </si>
  <si>
    <r>
      <rPr>
        <b/>
        <sz val="11"/>
        <color theme="1"/>
        <rFont val="Calibri"/>
        <family val="2"/>
      </rPr>
      <t>Value</t>
    </r>
    <r>
      <rPr>
        <sz val="11"/>
        <color theme="1"/>
        <rFont val="Calibri"/>
        <family val="2"/>
      </rPr>
      <t xml:space="preserve">: </t>
    </r>
    <r>
      <rPr>
        <i/>
        <sz val="11"/>
        <color theme="1"/>
        <rFont val="Calibri"/>
        <family val="2"/>
      </rPr>
      <t>Please attach at least one location to this approval to automatically generate approvals for MOCs at that location or below.</t>
    </r>
  </si>
  <si>
    <r>
      <rPr>
        <b/>
        <sz val="11"/>
        <color theme="1"/>
        <rFont val="Calibri"/>
        <family val="2"/>
        <scheme val="minor"/>
      </rPr>
      <t>Tooltip</t>
    </r>
    <r>
      <rPr>
        <sz val="11"/>
        <color theme="1"/>
        <rFont val="Calibri"/>
        <family val="2"/>
        <scheme val="minor"/>
      </rPr>
      <t>:Name and description of the approval to be applied.</t>
    </r>
  </si>
  <si>
    <t>L07 - MOC Approval Type</t>
  </si>
  <si>
    <r>
      <rPr>
        <b/>
        <sz val="11"/>
        <color theme="1"/>
        <rFont val="Calibri"/>
        <family val="2"/>
        <scheme val="minor"/>
      </rPr>
      <t>Tooltip</t>
    </r>
    <r>
      <rPr>
        <sz val="11"/>
        <color theme="1"/>
        <rFont val="Calibri"/>
        <family val="2"/>
        <scheme val="minor"/>
      </rPr>
      <t>: The MOC categories this approval is relevant to.</t>
    </r>
  </si>
  <si>
    <r>
      <rPr>
        <b/>
        <sz val="11"/>
        <color theme="1"/>
        <rFont val="Calibri"/>
        <family val="2"/>
        <scheme val="minor"/>
      </rPr>
      <t>Tooltip</t>
    </r>
    <r>
      <rPr>
        <sz val="11"/>
        <color theme="1"/>
        <rFont val="Calibri"/>
        <family val="2"/>
        <scheme val="minor"/>
      </rPr>
      <t>: The stage(s) of a workflow this approval is assigned for.</t>
    </r>
  </si>
  <si>
    <r>
      <rPr>
        <b/>
        <sz val="11"/>
        <color theme="1"/>
        <rFont val="Calibri"/>
        <family val="2"/>
        <scheme val="minor"/>
      </rPr>
      <t>Tooltip</t>
    </r>
    <r>
      <rPr>
        <sz val="11"/>
        <color theme="1"/>
        <rFont val="Calibri"/>
        <family val="2"/>
        <scheme val="minor"/>
      </rPr>
      <t>: MOC Change Impacts to which this Approval applies.</t>
    </r>
  </si>
  <si>
    <r>
      <rPr>
        <b/>
        <sz val="11"/>
        <color theme="1"/>
        <rFont val="Calibri"/>
        <family val="2"/>
        <scheme val="minor"/>
      </rPr>
      <t>Tooltip</t>
    </r>
    <r>
      <rPr>
        <sz val="11"/>
        <color theme="1"/>
        <rFont val="Calibri"/>
        <family val="2"/>
        <scheme val="minor"/>
      </rPr>
      <t>: Select Yes if approval is only to be created when the Emergency Change field in the MOC is set to Yes.
Select No if approval is only to be created when the Emergency Change field in the MOC is set to No.
Leave blank (null) if approval is to be created regardless of the value of the Emergency Change field in the MOC.</t>
    </r>
  </si>
  <si>
    <r>
      <rPr>
        <b/>
        <sz val="11"/>
        <color theme="1"/>
        <rFont val="Calibri"/>
        <family val="2"/>
        <scheme val="minor"/>
      </rPr>
      <t>Tooltip</t>
    </r>
    <r>
      <rPr>
        <sz val="11"/>
        <color theme="1"/>
        <rFont val="Calibri"/>
        <family val="2"/>
        <scheme val="minor"/>
      </rPr>
      <t>: Select Yes if approval is only to be created when the Replacement in Kind field in the MOC is set to Yes.
Select No if approval is only to be created when the Replacement in Kind field in the MOC is set to No.
Leave blank (null) if approval is to be created regardless of the value of the Replacement in Kind field in the MOC.</t>
    </r>
  </si>
  <si>
    <r>
      <rPr>
        <b/>
        <sz val="11"/>
        <color theme="1"/>
        <rFont val="Calibri"/>
        <family val="2"/>
        <scheme val="minor"/>
      </rPr>
      <t>Tooltip</t>
    </r>
    <r>
      <rPr>
        <sz val="11"/>
        <color theme="1"/>
        <rFont val="Calibri"/>
        <family val="2"/>
        <scheme val="minor"/>
      </rPr>
      <t>: Select Yes if approval is only to be created when the Temporary Change field in the MOC is set to Yes.
Select No if approval is only to be created when the Temporary Change field in the MOC is set to No.
Leave blank (null) if approval is to be created regardless of the value of the Temporary Change field in the MOC.</t>
    </r>
  </si>
  <si>
    <r>
      <rPr>
        <b/>
        <sz val="11"/>
        <color theme="1"/>
        <rFont val="Calibri"/>
        <family val="2"/>
        <scheme val="minor"/>
      </rPr>
      <t>Tooltip</t>
    </r>
    <r>
      <rPr>
        <sz val="11"/>
        <color theme="1"/>
        <rFont val="Calibri"/>
        <family val="2"/>
        <scheme val="minor"/>
      </rPr>
      <t>: The person or role responsible for an approval.</t>
    </r>
  </si>
  <si>
    <t>Instructions:</t>
  </si>
  <si>
    <r>
      <rPr>
        <b/>
        <sz val="11"/>
        <color theme="1"/>
        <rFont val="Calibri"/>
        <family val="2"/>
      </rPr>
      <t>Value</t>
    </r>
    <r>
      <rPr>
        <sz val="11"/>
        <color theme="1"/>
        <rFont val="Calibri"/>
        <family val="2"/>
      </rPr>
      <t>: Step 1.Enter the description and details of the change. For temporary changes, the Change Expiry date is mandatory.</t>
    </r>
  </si>
  <si>
    <t>Instructions field displayed in MOC detail view</t>
  </si>
  <si>
    <r>
      <rPr>
        <b/>
        <sz val="11"/>
        <color theme="1"/>
        <rFont val="Calibri"/>
        <family val="2"/>
      </rPr>
      <t>Value</t>
    </r>
    <r>
      <rPr>
        <sz val="11"/>
        <color theme="1"/>
        <rFont val="Calibri"/>
        <family val="2"/>
      </rPr>
      <t>: Step 1.Ensure change request information is accurate.
Step 2.Modify the MOC Category as required. When you are done, on the menu bar, click "Submit" to progress the workflow. For Emergency changes, the workflow is progressed to the Design &amp; Analysis stage. For Replacements in Kind, the workflow is progressed to the Implementation stage. All other changes are progressed to the Evaluation stage.
Step 3.Related MOC s (completed or in progress) may be added to the Related MOC grid below.</t>
    </r>
  </si>
  <si>
    <r>
      <rPr>
        <b/>
        <sz val="11"/>
        <color theme="1"/>
        <rFont val="Calibri"/>
        <family val="2"/>
      </rPr>
      <t>Value</t>
    </r>
    <r>
      <rPr>
        <sz val="11"/>
        <color theme="1"/>
        <rFont val="Calibri"/>
        <family val="2"/>
      </rPr>
      <t>: Step 1.Create approval tasks for Subject Matter Experts (SMEs) by clicking the 'Add Entry' button under the Approvals Grid below. This grid will track all approvals and display responses. If required, assign tasks by clicking the 'Add Entry' button in the Tasks grid below. If required, tasks may be added by clicking the 'Add Entry' button in the Tasks grid below.
Step 2.Once all required approvals have been received, complete the 'Have approvals been received in accordance with company MOC policies?' field.
Step 3.Attach any relevant documentation to the Private Documents grid below. When you are done, on the menu bar, click 'Save' to save the page and then "Submit" to progress the workflow to the Design &amp; Analysis stage</t>
    </r>
  </si>
  <si>
    <r>
      <rPr>
        <b/>
        <sz val="11"/>
        <color theme="1"/>
        <rFont val="Calibri"/>
        <family val="2"/>
      </rPr>
      <t>Value</t>
    </r>
    <r>
      <rPr>
        <sz val="11"/>
        <color theme="1"/>
        <rFont val="Calibri"/>
        <family val="2"/>
      </rPr>
      <t>: Step 1.Create Design &amp; Analysis tasks by clicking 'Add Entry' in the Tasks grid below.
Step 2.Fill in the required fields in the Design &amp; Analysis grid below.
Step 3.When all Design &amp; Analysis activities have been completed, add a Final Approval by clicking on the 'Add Entry' button in the Approvals grid below. At least one Final Approval is required to proceed.
Step 4.Attach any relevant documentation to the Private Documents grid below. When you are done, on the menu bar, click 'Save' to save the page and then "Submit" to progress the workflow to the Implementation stage.</t>
    </r>
  </si>
  <si>
    <r>
      <rPr>
        <b/>
        <sz val="11"/>
        <color theme="1"/>
        <rFont val="Calibri"/>
        <family val="2"/>
      </rPr>
      <t>Value</t>
    </r>
    <r>
      <rPr>
        <sz val="11"/>
        <color theme="1"/>
        <rFont val="Calibri"/>
        <family val="2"/>
      </rPr>
      <t>: Step 1.Create Implementation and confirmation tasks by clicking 'Add Entry' in the Tasks grid below.
Step 2.Fill in the required fields in the Implementation grid below.
Step 3.Attach any relevant documentation to the Private Documents grid below. When you are done, on the menu bar, click 'Save' to save the page and then "Submit" to progress the workflow to the Start-Up stage.</t>
    </r>
  </si>
  <si>
    <r>
      <rPr>
        <b/>
        <sz val="11"/>
        <color theme="1"/>
        <rFont val="Calibri"/>
        <family val="2"/>
      </rPr>
      <t>Value</t>
    </r>
    <r>
      <rPr>
        <sz val="11"/>
        <color theme="1"/>
        <rFont val="Calibri"/>
        <family val="2"/>
      </rPr>
      <t>: Step 1.Create Start-Up and confirmation tasks by clicking 'Add Entry' in the Tasks grid below.
Step 2.Fill in the required fields in the Start-Up grid below.
Step 3.Attach any relevant documentation to the Private Documents grid below. When you are done, on the menu bar, click 'Save' to save the page and then "Submit" to progress the workflow to the Follow-Up stage.</t>
    </r>
  </si>
  <si>
    <r>
      <rPr>
        <b/>
        <sz val="11"/>
        <color theme="1"/>
        <rFont val="Calibri"/>
        <family val="2"/>
      </rPr>
      <t>Value</t>
    </r>
    <r>
      <rPr>
        <sz val="11"/>
        <color theme="1"/>
        <rFont val="Calibri"/>
        <family val="2"/>
      </rPr>
      <t>: Step 1.Answer the questions in Follow-Up grid below. When you are done, on the menu bar, click 'Save' to save the page and then "Complete MOC" to complete the workflow to the Closed stage.</t>
    </r>
  </si>
  <si>
    <t>View, Edit, Delete</t>
  </si>
  <si>
    <t>File</t>
  </si>
  <si>
    <t>Geodata</t>
  </si>
  <si>
    <t>Lookup (Single)</t>
  </si>
  <si>
    <t>Lookup (Multi)</t>
  </si>
  <si>
    <t>Reference</t>
  </si>
  <si>
    <t>Sean Aquio</t>
  </si>
  <si>
    <t>Meredith Bland</t>
  </si>
  <si>
    <t>Added field type options. Workbook Requested Fixes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</si>
</sst>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yyyy\-mm\-dd"/>
    <numFmt numFmtId="165" formatCode="ddd\ yyyy\-mmm\-dd"/>
  </numFmts>
  <fonts count="35" x14ac:knownFonts="1">
    <font>
      <sz val="11"/>
      <color theme="1"/>
      <name val="Calibri"/>
      <family val="2"/>
      <scheme val="minor"/>
    </font>
    <font>
      <sz val="18"/>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indexed="8"/>
      <name val="Calibri"/>
      <family val="2"/>
    </font>
    <font>
      <sz val="10"/>
      <name val="Arial"/>
      <family val="2"/>
    </font>
    <font>
      <sz val="11"/>
      <color rgb="FF000000"/>
      <name val="Calibri"/>
      <family val="2"/>
      <scheme val="minor"/>
    </font>
    <font>
      <sz val="36"/>
      <color rgb="FF0070C0"/>
      <name val="Arial"/>
      <family val="2"/>
    </font>
    <font>
      <sz val="26"/>
      <color theme="0" tint="-0.499984740745262"/>
      <name val="Arial"/>
      <family val="2"/>
    </font>
    <font>
      <sz val="11"/>
      <color theme="0" tint="-0.499984740745262"/>
      <name val="Calibri"/>
      <family val="2"/>
      <scheme val="minor"/>
    </font>
    <font>
      <sz val="11"/>
      <color theme="0" tint="-0.499984740745262"/>
      <name val="Arial"/>
      <family val="2"/>
    </font>
    <font>
      <sz val="22"/>
      <color rgb="FF0070C0"/>
      <name val="Arial"/>
      <family val="2"/>
    </font>
    <font>
      <u/>
      <sz val="11"/>
      <color theme="10"/>
      <name val="Calibri"/>
      <family val="2"/>
      <scheme val="minor"/>
    </font>
    <font>
      <b/>
      <sz val="12"/>
      <color theme="1"/>
      <name val="Calibri"/>
      <family val="2"/>
      <scheme val="minor"/>
    </font>
    <font>
      <sz val="11"/>
      <color rgb="FF00B050"/>
      <name val="Calibri"/>
      <family val="2"/>
      <scheme val="minor"/>
    </font>
    <font>
      <sz val="11"/>
      <color theme="1"/>
      <name val="Calibri"/>
      <family val="2"/>
      <scheme val="minor"/>
    </font>
    <font>
      <b/>
      <sz val="11"/>
      <color theme="1"/>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b/>
      <sz val="11"/>
      <color theme="0"/>
      <name val="Calibri"/>
      <family val="2"/>
      <scheme val="minor"/>
    </font>
    <font>
      <sz val="11"/>
      <color theme="1"/>
      <name val="Calibri"/>
      <family val="2"/>
      <scheme val="minor"/>
    </font>
    <font>
      <sz val="11"/>
      <color rgb="FF000000"/>
      <name val="Calibri"/>
      <family val="2"/>
      <scheme val="minor"/>
    </font>
    <font>
      <sz val="8"/>
      <name val="Calibri"/>
      <family val="2"/>
      <scheme val="minor"/>
    </font>
    <font>
      <b/>
      <u/>
      <sz val="11"/>
      <color theme="1"/>
      <name val="Calibri"/>
      <family val="2"/>
      <scheme val="minor"/>
    </font>
    <font>
      <sz val="11"/>
      <color theme="1"/>
      <name val="Calibri"/>
      <family val="2"/>
    </font>
    <font>
      <b/>
      <sz val="11"/>
      <color theme="1"/>
      <name val="Calibri"/>
      <family val="2"/>
    </font>
    <font>
      <b/>
      <sz val="11"/>
      <name val="Calibri"/>
      <family val="2"/>
      <scheme val="minor"/>
    </font>
    <font>
      <sz val="10"/>
      <color rgb="FF000000"/>
      <name val="Arial"/>
      <family val="2"/>
    </font>
    <font>
      <b/>
      <sz val="20"/>
      <color rgb="FF0054BB"/>
      <name val="Calibri"/>
      <family val="2"/>
      <scheme val="minor"/>
    </font>
    <font>
      <sz val="11"/>
      <color rgb="FF000000"/>
      <name val="Calibri"/>
      <family val="2"/>
    </font>
    <font>
      <i/>
      <sz val="11"/>
      <color theme="1"/>
      <name val="Calibri"/>
      <family val="2"/>
    </font>
    <font>
      <sz val="11"/>
      <color theme="1"/>
      <name val="Calibri"/>
      <family val="2"/>
    </font>
    <font>
      <sz val="11"/>
      <color rgb="FF222222"/>
      <name val="Open Sans"/>
      <family val="2"/>
    </font>
  </fonts>
  <fills count="11">
    <fill>
      <patternFill patternType="none"/>
    </fill>
    <fill>
      <patternFill patternType="gray125"/>
    </fill>
    <fill>
      <patternFill patternType="solid">
        <fgColor theme="4" tint="0.79998168889431442"/>
        <bgColor indexed="65"/>
      </patternFill>
    </fill>
    <fill>
      <patternFill patternType="solid">
        <fgColor theme="4" tint="0.39997558519241921"/>
        <bgColor indexed="64"/>
      </patternFill>
    </fill>
    <fill>
      <patternFill patternType="solid">
        <fgColor theme="0"/>
        <bgColor indexed="64"/>
      </patternFill>
    </fill>
    <fill>
      <patternFill patternType="solid">
        <fgColor theme="4" tint="0.59999389629810485"/>
        <bgColor indexed="65"/>
      </patternFill>
    </fill>
    <fill>
      <patternFill patternType="solid">
        <fgColor theme="0"/>
        <bgColor rgb="FFFFFFFF"/>
      </patternFill>
    </fill>
    <fill>
      <patternFill patternType="solid">
        <fgColor rgb="FF00B050"/>
        <bgColor indexed="64"/>
      </patternFill>
    </fill>
    <fill>
      <patternFill patternType="solid">
        <fgColor rgb="FF5B9BD5"/>
        <bgColor indexed="64"/>
      </patternFill>
    </fill>
    <fill>
      <patternFill patternType="solid">
        <fgColor theme="4" tint="0.79998168889431442"/>
        <bgColor theme="4" tint="0.79998168889431442"/>
      </patternFill>
    </fill>
    <fill>
      <patternFill patternType="solid">
        <fgColor rgb="FFFFF2CC"/>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right style="thin">
        <color indexed="64"/>
      </right>
      <top/>
      <bottom/>
      <diagonal/>
    </border>
    <border>
      <left/>
      <right style="thin">
        <color indexed="64"/>
      </right>
      <top/>
      <bottom style="thin">
        <color indexed="64"/>
      </bottom>
      <diagonal/>
    </border>
    <border>
      <left style="thin">
        <color auto="1"/>
      </left>
      <right style="thin">
        <color indexed="64"/>
      </right>
      <top/>
      <bottom/>
      <diagonal/>
    </border>
    <border>
      <left style="thin">
        <color auto="1"/>
      </left>
      <right style="thin">
        <color indexed="64"/>
      </right>
      <top style="thin">
        <color auto="1"/>
      </top>
      <bottom style="dotted">
        <color indexed="64"/>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top style="thin">
        <color auto="1"/>
      </top>
      <bottom style="dotted">
        <color indexed="64"/>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style="medium">
        <color rgb="FF5B9BD5"/>
      </left>
      <right/>
      <top/>
      <bottom style="medium">
        <color rgb="FF5B9BD5"/>
      </bottom>
      <diagonal/>
    </border>
    <border>
      <left/>
      <right/>
      <top/>
      <bottom style="medium">
        <color rgb="FF5B9BD5"/>
      </bottom>
      <diagonal/>
    </border>
    <border>
      <left/>
      <right style="medium">
        <color rgb="FF95B3D7"/>
      </right>
      <top/>
      <bottom style="medium">
        <color rgb="FF5B9BD5"/>
      </bottom>
      <diagonal/>
    </border>
    <border>
      <left style="medium">
        <color rgb="FF9CC2E5"/>
      </left>
      <right style="medium">
        <color rgb="FF9CC2E5"/>
      </right>
      <top/>
      <bottom/>
      <diagonal/>
    </border>
    <border>
      <left/>
      <right style="medium">
        <color rgb="FF9CC2E5"/>
      </right>
      <top/>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style="thin">
        <color auto="1"/>
      </right>
      <top style="thin">
        <color auto="1"/>
      </top>
      <bottom style="thin">
        <color auto="1"/>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auto="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auto="1"/>
      </top>
      <bottom style="dotted">
        <color indexed="64"/>
      </bottom>
      <diagonal/>
    </border>
    <border>
      <left style="thin">
        <color auto="1"/>
      </left>
      <right style="thin">
        <color indexed="64"/>
      </right>
      <top style="dotted">
        <color auto="1"/>
      </top>
      <bottom style="thin">
        <color indexed="64"/>
      </bottom>
      <diagonal/>
    </border>
    <border>
      <left/>
      <right/>
      <top style="dotted">
        <color auto="1"/>
      </top>
      <bottom style="thin">
        <color indexed="64"/>
      </bottom>
      <diagonal/>
    </border>
    <border>
      <left/>
      <right style="thin">
        <color indexed="64"/>
      </right>
      <top style="dotted">
        <color auto="1"/>
      </top>
      <bottom style="thin">
        <color indexed="64"/>
      </bottom>
      <diagonal/>
    </border>
    <border>
      <left style="thin">
        <color auto="1"/>
      </left>
      <right style="thin">
        <color indexed="64"/>
      </right>
      <top style="dotted">
        <color auto="1"/>
      </top>
      <bottom style="dotted">
        <color auto="1"/>
      </bottom>
      <diagonal/>
    </border>
    <border>
      <left/>
      <right/>
      <top style="dotted">
        <color auto="1"/>
      </top>
      <bottom style="dotted">
        <color auto="1"/>
      </bottom>
      <diagonal/>
    </border>
    <border>
      <left style="thin">
        <color theme="4"/>
      </left>
      <right style="thin">
        <color theme="4"/>
      </right>
      <top style="thin">
        <color theme="4"/>
      </top>
      <bottom style="thin">
        <color theme="4"/>
      </bottom>
      <diagonal/>
    </border>
    <border>
      <left style="thin">
        <color theme="0" tint="-0.14999847407452621"/>
      </left>
      <right style="thin">
        <color theme="4"/>
      </right>
      <top style="thin">
        <color theme="4"/>
      </top>
      <bottom style="thin">
        <color theme="4"/>
      </bottom>
      <diagonal/>
    </border>
  </borders>
  <cellStyleXfs count="9">
    <xf numFmtId="0" fontId="0" fillId="0" borderId="0"/>
    <xf numFmtId="0" fontId="2" fillId="2" borderId="0" applyNumberFormat="0" applyBorder="0" applyAlignment="0" applyProtection="0"/>
    <xf numFmtId="0" fontId="2" fillId="5" borderId="0" applyNumberFormat="0" applyBorder="0" applyAlignment="0" applyProtection="0"/>
    <xf numFmtId="0" fontId="5" fillId="0" borderId="0"/>
    <xf numFmtId="0" fontId="6" fillId="0" borderId="0"/>
    <xf numFmtId="0" fontId="6" fillId="0" borderId="0"/>
    <xf numFmtId="0" fontId="2" fillId="0" borderId="0"/>
    <xf numFmtId="0" fontId="13" fillId="0" borderId="0" applyNumberFormat="0" applyFill="0" applyBorder="0" applyAlignment="0" applyProtection="0"/>
    <xf numFmtId="0" fontId="29" fillId="0" borderId="0"/>
  </cellStyleXfs>
  <cellXfs count="279">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4" borderId="0" xfId="0" applyFill="1"/>
    <xf numFmtId="0" fontId="0" fillId="0" borderId="0" xfId="0" applyAlignment="1">
      <alignment horizontal="center"/>
    </xf>
    <xf numFmtId="0" fontId="1" fillId="0" borderId="0" xfId="0" applyFont="1"/>
    <xf numFmtId="0" fontId="1" fillId="4" borderId="0" xfId="0" applyFont="1" applyFill="1"/>
    <xf numFmtId="0" fontId="0" fillId="4" borderId="0" xfId="0" applyFill="1" applyAlignment="1">
      <alignment horizontal="left"/>
    </xf>
    <xf numFmtId="0" fontId="3" fillId="3" borderId="1" xfId="0" applyFont="1" applyFill="1" applyBorder="1" applyAlignment="1">
      <alignment horizontal="left" vertical="center"/>
    </xf>
    <xf numFmtId="0" fontId="0" fillId="2" borderId="2" xfId="1" applyFont="1" applyBorder="1" applyAlignment="1">
      <alignment vertical="center" wrapText="1"/>
    </xf>
    <xf numFmtId="0" fontId="1" fillId="4" borderId="0" xfId="0" applyFont="1" applyFill="1" applyAlignment="1">
      <alignment horizontal="left" vertical="center"/>
    </xf>
    <xf numFmtId="0" fontId="3" fillId="3" borderId="2" xfId="0" applyFont="1" applyFill="1" applyBorder="1" applyAlignment="1">
      <alignment horizontal="left" vertical="center"/>
    </xf>
    <xf numFmtId="0" fontId="0" fillId="0" borderId="0" xfId="0" applyAlignment="1">
      <alignment horizontal="left" vertical="top"/>
    </xf>
    <xf numFmtId="0" fontId="0" fillId="5" borderId="7" xfId="2" applyFont="1" applyBorder="1" applyAlignment="1">
      <alignment vertical="center" wrapText="1"/>
    </xf>
    <xf numFmtId="0" fontId="2" fillId="5" borderId="7" xfId="2" applyBorder="1" applyAlignment="1">
      <alignment vertical="center" wrapText="1"/>
    </xf>
    <xf numFmtId="0" fontId="0" fillId="2" borderId="7" xfId="1" applyFont="1" applyBorder="1" applyAlignment="1">
      <alignment vertical="center" wrapText="1"/>
    </xf>
    <xf numFmtId="0" fontId="6" fillId="6" borderId="0" xfId="4" applyFill="1"/>
    <xf numFmtId="0" fontId="4" fillId="6" borderId="0" xfId="4" applyFont="1" applyFill="1" applyAlignment="1">
      <alignment horizontal="left"/>
    </xf>
    <xf numFmtId="0" fontId="8" fillId="4" borderId="0" xfId="0" applyFont="1" applyFill="1"/>
    <xf numFmtId="0" fontId="9" fillId="4" borderId="0" xfId="0" applyFont="1" applyFill="1"/>
    <xf numFmtId="0" fontId="10" fillId="4" borderId="0" xfId="0" applyFont="1" applyFill="1"/>
    <xf numFmtId="0" fontId="11" fillId="4" borderId="0" xfId="0" applyFont="1" applyFill="1"/>
    <xf numFmtId="0" fontId="12" fillId="4" borderId="0" xfId="0" applyFont="1" applyFill="1"/>
    <xf numFmtId="0" fontId="10" fillId="4" borderId="0" xfId="0" applyFont="1" applyFill="1" applyAlignment="1">
      <alignment horizontal="left"/>
    </xf>
    <xf numFmtId="0" fontId="10" fillId="4" borderId="0" xfId="0" applyFont="1" applyFill="1" applyAlignment="1">
      <alignment horizontal="left" vertical="center"/>
    </xf>
    <xf numFmtId="0" fontId="10" fillId="6" borderId="0" xfId="4" applyFont="1" applyFill="1" applyAlignment="1">
      <alignment horizontal="left"/>
    </xf>
    <xf numFmtId="0" fontId="12" fillId="0" borderId="0" xfId="0" applyFont="1"/>
    <xf numFmtId="0" fontId="12" fillId="4" borderId="0" xfId="0" applyFont="1" applyFill="1" applyAlignment="1">
      <alignment vertical="top"/>
    </xf>
    <xf numFmtId="0" fontId="0" fillId="0" borderId="0" xfId="0" applyAlignment="1">
      <alignment horizontal="left"/>
    </xf>
    <xf numFmtId="0" fontId="3" fillId="4" borderId="0" xfId="0" applyFont="1" applyFill="1"/>
    <xf numFmtId="0" fontId="13" fillId="4" borderId="0" xfId="7" applyFill="1" applyBorder="1"/>
    <xf numFmtId="0" fontId="14" fillId="4" borderId="0" xfId="0" applyFont="1" applyFill="1"/>
    <xf numFmtId="164" fontId="1" fillId="4" borderId="0" xfId="0" applyNumberFormat="1" applyFont="1" applyFill="1" applyAlignment="1">
      <alignment horizontal="right"/>
    </xf>
    <xf numFmtId="164" fontId="0" fillId="4" borderId="0" xfId="0" applyNumberFormat="1" applyFill="1" applyAlignment="1">
      <alignment horizontal="right"/>
    </xf>
    <xf numFmtId="164" fontId="0" fillId="0" borderId="0" xfId="0" applyNumberFormat="1" applyAlignment="1">
      <alignment horizontal="right"/>
    </xf>
    <xf numFmtId="0" fontId="0" fillId="0" borderId="0" xfId="1" applyFont="1" applyFill="1" applyBorder="1" applyAlignment="1">
      <alignment horizontal="center" vertical="center" wrapText="1"/>
    </xf>
    <xf numFmtId="0" fontId="0" fillId="0" borderId="0" xfId="1" applyFont="1" applyFill="1" applyBorder="1" applyAlignment="1">
      <alignment horizontal="left" vertical="center" wrapText="1"/>
    </xf>
    <xf numFmtId="0" fontId="0" fillId="0" borderId="0" xfId="2" applyFont="1" applyFill="1" applyBorder="1" applyAlignment="1">
      <alignment horizontal="center" vertical="center" wrapText="1"/>
    </xf>
    <xf numFmtId="0" fontId="0" fillId="0" borderId="0" xfId="2" applyFont="1" applyFill="1" applyBorder="1" applyAlignment="1">
      <alignment horizontal="left" vertical="center" wrapText="1"/>
    </xf>
    <xf numFmtId="0" fontId="3" fillId="0" borderId="0" xfId="0" applyFont="1"/>
    <xf numFmtId="0" fontId="0" fillId="0" borderId="0" xfId="1" applyFont="1" applyFill="1" applyBorder="1" applyAlignment="1">
      <alignment vertical="center" wrapText="1"/>
    </xf>
    <xf numFmtId="0" fontId="2" fillId="0" borderId="0" xfId="2" applyFill="1" applyBorder="1" applyAlignment="1">
      <alignment horizontal="left" vertical="center" wrapText="1"/>
    </xf>
    <xf numFmtId="0" fontId="0" fillId="0" borderId="8" xfId="0" applyBorder="1"/>
    <xf numFmtId="0" fontId="0" fillId="0" borderId="8" xfId="0" applyBorder="1" applyAlignment="1">
      <alignment horizontal="left"/>
    </xf>
    <xf numFmtId="0" fontId="12" fillId="4" borderId="0" xfId="0" applyFont="1" applyFill="1" applyAlignment="1">
      <alignment horizontal="left"/>
    </xf>
    <xf numFmtId="0" fontId="0" fillId="0" borderId="8" xfId="0" applyBorder="1" applyAlignment="1">
      <alignment horizontal="center"/>
    </xf>
    <xf numFmtId="0" fontId="0" fillId="0" borderId="0" xfId="1" applyFont="1" applyFill="1" applyBorder="1" applyAlignment="1">
      <alignment horizontal="left" vertical="center"/>
    </xf>
    <xf numFmtId="0" fontId="2" fillId="0" borderId="0" xfId="2" applyFill="1" applyBorder="1" applyAlignment="1">
      <alignment horizontal="left" vertical="center"/>
    </xf>
    <xf numFmtId="0" fontId="0" fillId="0" borderId="0" xfId="1" applyFont="1" applyFill="1" applyBorder="1" applyAlignment="1">
      <alignment vertical="center"/>
    </xf>
    <xf numFmtId="0" fontId="0" fillId="0" borderId="0" xfId="2" applyFont="1" applyFill="1" applyBorder="1" applyAlignment="1">
      <alignment horizontal="left" vertical="center"/>
    </xf>
    <xf numFmtId="0" fontId="0" fillId="0" borderId="0" xfId="2" applyFont="1" applyFill="1" applyBorder="1" applyAlignment="1">
      <alignment vertical="center" wrapText="1"/>
    </xf>
    <xf numFmtId="165" fontId="0" fillId="0" borderId="0" xfId="0" applyNumberFormat="1" applyAlignment="1">
      <alignment horizontal="right"/>
    </xf>
    <xf numFmtId="0" fontId="0" fillId="0" borderId="0" xfId="0" applyAlignment="1">
      <alignment horizontal="left" vertical="center" wrapText="1"/>
    </xf>
    <xf numFmtId="0" fontId="0" fillId="0" borderId="0" xfId="0" applyAlignment="1">
      <alignment horizontal="center" vertical="center" wrapText="1"/>
    </xf>
    <xf numFmtId="0" fontId="3" fillId="3" borderId="1" xfId="0" applyFont="1" applyFill="1" applyBorder="1" applyAlignment="1">
      <alignment horizontal="center" vertical="center" textRotation="90"/>
    </xf>
    <xf numFmtId="0" fontId="3" fillId="3" borderId="1" xfId="0" applyFont="1" applyFill="1" applyBorder="1" applyAlignment="1">
      <alignment horizontal="center" vertical="center" textRotation="90" wrapText="1"/>
    </xf>
    <xf numFmtId="0" fontId="0" fillId="0" borderId="0" xfId="0" applyAlignment="1">
      <alignment horizontal="left" vertical="top" wrapText="1"/>
    </xf>
    <xf numFmtId="0" fontId="1" fillId="4" borderId="0" xfId="0" applyFont="1" applyFill="1" applyAlignment="1">
      <alignment vertical="top"/>
    </xf>
    <xf numFmtId="0" fontId="0" fillId="4" borderId="0" xfId="0" applyFill="1" applyAlignment="1">
      <alignment vertical="top"/>
    </xf>
    <xf numFmtId="0" fontId="10" fillId="4" borderId="0" xfId="0" applyFont="1" applyFill="1" applyAlignment="1">
      <alignment horizontal="left" vertical="top"/>
    </xf>
    <xf numFmtId="0" fontId="1" fillId="4" borderId="0" xfId="0" applyFont="1" applyFill="1" applyAlignment="1">
      <alignment horizontal="left" vertical="top"/>
    </xf>
    <xf numFmtId="0" fontId="0" fillId="0" borderId="0" xfId="0" applyAlignment="1">
      <alignment vertical="top"/>
    </xf>
    <xf numFmtId="0" fontId="7" fillId="0" borderId="0" xfId="0" applyFont="1" applyAlignment="1">
      <alignment vertical="top"/>
    </xf>
    <xf numFmtId="0" fontId="0" fillId="0" borderId="0" xfId="0" applyAlignment="1">
      <alignment horizontal="center" vertical="top"/>
    </xf>
    <xf numFmtId="0" fontId="0" fillId="4" borderId="0" xfId="0" applyFill="1" applyAlignment="1">
      <alignment horizontal="center" vertical="top"/>
    </xf>
    <xf numFmtId="0" fontId="12" fillId="4" borderId="0" xfId="0" applyFont="1" applyFill="1" applyAlignment="1">
      <alignment horizontal="left" vertical="top"/>
    </xf>
    <xf numFmtId="0" fontId="3" fillId="3" borderId="2" xfId="0" applyFont="1" applyFill="1" applyBorder="1" applyAlignment="1">
      <alignment horizontal="center" vertical="center"/>
    </xf>
    <xf numFmtId="0" fontId="0" fillId="5" borderId="3" xfId="2" applyFont="1" applyBorder="1" applyAlignment="1">
      <alignment horizontal="left" vertical="center" wrapText="1"/>
    </xf>
    <xf numFmtId="0" fontId="0" fillId="5" borderId="2" xfId="2" applyFont="1" applyBorder="1" applyAlignment="1">
      <alignment horizontal="left" vertical="center" wrapText="1"/>
    </xf>
    <xf numFmtId="0" fontId="2" fillId="5" borderId="3" xfId="2" applyBorder="1" applyAlignment="1">
      <alignment horizontal="left" vertical="center" wrapText="1"/>
    </xf>
    <xf numFmtId="0" fontId="2" fillId="5" borderId="2" xfId="2" applyBorder="1" applyAlignment="1">
      <alignment horizontal="left" vertical="center" wrapText="1"/>
    </xf>
    <xf numFmtId="0" fontId="0" fillId="2" borderId="3" xfId="1" applyFont="1" applyBorder="1" applyAlignment="1">
      <alignment horizontal="left" vertical="center" wrapText="1"/>
    </xf>
    <xf numFmtId="0" fontId="0" fillId="2" borderId="2" xfId="1" applyFont="1" applyBorder="1" applyAlignment="1">
      <alignment horizontal="left" vertical="center" wrapText="1"/>
    </xf>
    <xf numFmtId="0" fontId="1" fillId="4" borderId="0" xfId="0" applyFont="1" applyFill="1" applyAlignment="1">
      <alignment horizontal="left"/>
    </xf>
    <xf numFmtId="0" fontId="0" fillId="5" borderId="11" xfId="2" applyFont="1" applyBorder="1" applyAlignment="1">
      <alignment horizontal="left" vertical="center" wrapText="1"/>
    </xf>
    <xf numFmtId="0" fontId="0" fillId="2" borderId="11" xfId="1" applyFont="1" applyBorder="1" applyAlignment="1">
      <alignment horizontal="left" vertical="center" wrapText="1"/>
    </xf>
    <xf numFmtId="0" fontId="3" fillId="3" borderId="5" xfId="0" applyFont="1" applyFill="1" applyBorder="1" applyAlignment="1">
      <alignment horizontal="left" vertical="center"/>
    </xf>
    <xf numFmtId="0" fontId="3" fillId="3" borderId="2" xfId="0" applyFont="1" applyFill="1" applyBorder="1" applyAlignment="1">
      <alignment vertical="center"/>
    </xf>
    <xf numFmtId="0" fontId="3" fillId="3" borderId="10" xfId="0" applyFont="1" applyFill="1" applyBorder="1" applyAlignment="1">
      <alignment horizontal="left" vertical="center"/>
    </xf>
    <xf numFmtId="0" fontId="0" fillId="5" borderId="6" xfId="2" applyFont="1" applyBorder="1" applyAlignment="1">
      <alignment horizontal="left" vertical="center" wrapText="1"/>
    </xf>
    <xf numFmtId="0" fontId="0" fillId="0" borderId="1" xfId="0" applyBorder="1"/>
    <xf numFmtId="0" fontId="15" fillId="0" borderId="0" xfId="0" applyFont="1"/>
    <xf numFmtId="0" fontId="3" fillId="7" borderId="1" xfId="0" applyFont="1" applyFill="1" applyBorder="1"/>
    <xf numFmtId="0" fontId="0" fillId="7" borderId="1" xfId="0" applyFill="1" applyBorder="1"/>
    <xf numFmtId="0" fontId="17" fillId="3" borderId="2" xfId="0" applyFont="1" applyFill="1" applyBorder="1" applyAlignment="1">
      <alignment horizontal="left" vertical="center"/>
    </xf>
    <xf numFmtId="0" fontId="16" fillId="0" borderId="0" xfId="0" applyFont="1" applyAlignment="1">
      <alignment horizontal="center" vertical="center" wrapText="1"/>
    </xf>
    <xf numFmtId="0" fontId="16" fillId="0" borderId="0" xfId="1" applyFont="1" applyFill="1" applyBorder="1" applyAlignment="1">
      <alignment horizontal="center" vertical="center" wrapText="1"/>
    </xf>
    <xf numFmtId="0" fontId="0" fillId="0" borderId="1" xfId="0" quotePrefix="1" applyBorder="1" applyAlignment="1">
      <alignment horizontal="left"/>
    </xf>
    <xf numFmtId="0" fontId="18" fillId="8" borderId="14" xfId="0" applyFont="1" applyFill="1" applyBorder="1" applyAlignment="1">
      <alignment vertical="center" wrapText="1"/>
    </xf>
    <xf numFmtId="0" fontId="18" fillId="8" borderId="15" xfId="0" applyFont="1" applyFill="1" applyBorder="1" applyAlignment="1">
      <alignment vertical="center" wrapText="1"/>
    </xf>
    <xf numFmtId="0" fontId="18" fillId="8" borderId="16" xfId="0" applyFont="1" applyFill="1" applyBorder="1" applyAlignment="1">
      <alignment vertical="center" wrapText="1"/>
    </xf>
    <xf numFmtId="0" fontId="0" fillId="0" borderId="19" xfId="0" applyBorder="1" applyAlignment="1">
      <alignment horizontal="left" vertical="top"/>
    </xf>
    <xf numFmtId="0" fontId="22" fillId="0" borderId="0" xfId="0" applyFont="1" applyAlignment="1">
      <alignment horizontal="left" vertical="top"/>
    </xf>
    <xf numFmtId="0" fontId="22" fillId="0" borderId="0" xfId="0" applyFont="1" applyAlignment="1">
      <alignment horizontal="center" vertical="top"/>
    </xf>
    <xf numFmtId="0" fontId="23" fillId="0" borderId="0" xfId="0" applyFont="1" applyAlignment="1">
      <alignment vertical="top"/>
    </xf>
    <xf numFmtId="0" fontId="22" fillId="0" borderId="0" xfId="0" applyFont="1" applyAlignment="1">
      <alignment vertical="top"/>
    </xf>
    <xf numFmtId="0" fontId="22" fillId="0" borderId="20" xfId="0" applyFont="1" applyBorder="1" applyAlignment="1">
      <alignment horizontal="left" vertical="top"/>
    </xf>
    <xf numFmtId="0" fontId="22" fillId="0" borderId="0" xfId="0" applyFont="1" applyAlignment="1">
      <alignment vertical="top" wrapText="1"/>
    </xf>
    <xf numFmtId="0" fontId="0" fillId="0" borderId="20" xfId="0" applyBorder="1" applyAlignment="1">
      <alignment horizontal="left" vertical="top"/>
    </xf>
    <xf numFmtId="0" fontId="0" fillId="0" borderId="0" xfId="0" quotePrefix="1" applyAlignment="1">
      <alignment horizontal="left" vertical="top" wrapText="1"/>
    </xf>
    <xf numFmtId="0" fontId="0" fillId="0" borderId="0" xfId="0" applyAlignment="1">
      <alignment horizontal="left" vertical="center"/>
    </xf>
    <xf numFmtId="0" fontId="2" fillId="0" borderId="0" xfId="1" applyFill="1" applyBorder="1" applyAlignment="1">
      <alignment vertical="center" wrapText="1"/>
    </xf>
    <xf numFmtId="0" fontId="2" fillId="0" borderId="0" xfId="1" applyFill="1" applyBorder="1" applyAlignment="1">
      <alignment horizontal="center" vertical="center" wrapText="1"/>
    </xf>
    <xf numFmtId="0" fontId="2" fillId="0" borderId="0" xfId="2" applyFill="1" applyBorder="1" applyAlignment="1">
      <alignment horizontal="center" vertical="center" wrapText="1"/>
    </xf>
    <xf numFmtId="0" fontId="0" fillId="0" borderId="6" xfId="0" applyBorder="1"/>
    <xf numFmtId="0" fontId="0" fillId="0" borderId="0" xfId="1" quotePrefix="1" applyFont="1" applyFill="1" applyBorder="1" applyAlignment="1">
      <alignment vertical="center" wrapText="1"/>
    </xf>
    <xf numFmtId="0" fontId="0" fillId="2" borderId="6" xfId="1" applyFont="1" applyBorder="1" applyAlignment="1">
      <alignment horizontal="left" vertical="center" wrapText="1"/>
    </xf>
    <xf numFmtId="0" fontId="0" fillId="2" borderId="6" xfId="1" applyFont="1" applyBorder="1" applyAlignment="1">
      <alignment vertical="center" wrapText="1"/>
    </xf>
    <xf numFmtId="0" fontId="0" fillId="2" borderId="3" xfId="1" applyFont="1" applyBorder="1" applyAlignment="1">
      <alignment vertical="center" wrapText="1"/>
    </xf>
    <xf numFmtId="0" fontId="0" fillId="2" borderId="8" xfId="1" applyFont="1" applyBorder="1" applyAlignment="1">
      <alignment horizontal="left" vertical="center" wrapText="1"/>
    </xf>
    <xf numFmtId="0" fontId="0" fillId="2" borderId="24" xfId="1" applyFont="1" applyBorder="1" applyAlignment="1">
      <alignment vertical="center" wrapText="1"/>
    </xf>
    <xf numFmtId="0" fontId="2" fillId="5" borderId="6" xfId="2" applyBorder="1" applyAlignment="1">
      <alignment horizontal="left" vertical="center" wrapText="1"/>
    </xf>
    <xf numFmtId="0" fontId="0" fillId="2" borderId="26" xfId="1" applyFont="1" applyBorder="1" applyAlignment="1">
      <alignment vertical="center" wrapText="1"/>
    </xf>
    <xf numFmtId="0" fontId="0" fillId="2" borderId="27" xfId="1" applyFont="1" applyBorder="1" applyAlignment="1">
      <alignment horizontal="left" vertical="center" wrapText="1"/>
    </xf>
    <xf numFmtId="0" fontId="0" fillId="2" borderId="29" xfId="1" applyFont="1" applyBorder="1" applyAlignment="1">
      <alignment vertical="center" wrapText="1"/>
    </xf>
    <xf numFmtId="0" fontId="0" fillId="5" borderId="29" xfId="2" applyFont="1" applyBorder="1" applyAlignment="1">
      <alignment vertical="center" wrapText="1"/>
    </xf>
    <xf numFmtId="0" fontId="2" fillId="5" borderId="29" xfId="2" applyBorder="1" applyAlignment="1">
      <alignment vertical="center" wrapText="1"/>
    </xf>
    <xf numFmtId="0" fontId="0" fillId="5" borderId="30" xfId="2" applyFont="1" applyBorder="1" applyAlignment="1">
      <alignment horizontal="left" vertical="center" wrapText="1"/>
    </xf>
    <xf numFmtId="0" fontId="0" fillId="5" borderId="26" xfId="2" applyFont="1" applyBorder="1" applyAlignment="1">
      <alignment vertical="center" wrapText="1"/>
    </xf>
    <xf numFmtId="0" fontId="2" fillId="5" borderId="26" xfId="2" applyBorder="1" applyAlignment="1">
      <alignment vertical="center" wrapText="1"/>
    </xf>
    <xf numFmtId="0" fontId="0" fillId="5" borderId="27" xfId="2" applyFont="1" applyBorder="1" applyAlignment="1">
      <alignment horizontal="left" vertical="center" wrapText="1"/>
    </xf>
    <xf numFmtId="0" fontId="0" fillId="5" borderId="29" xfId="2" quotePrefix="1" applyFont="1" applyBorder="1" applyAlignment="1">
      <alignment vertical="center" wrapText="1"/>
    </xf>
    <xf numFmtId="0" fontId="0" fillId="2" borderId="0" xfId="1" applyFont="1" applyBorder="1" applyAlignment="1">
      <alignment horizontal="left" vertical="center" wrapText="1"/>
    </xf>
    <xf numFmtId="0" fontId="0" fillId="2" borderId="30" xfId="1" applyFont="1" applyBorder="1" applyAlignment="1">
      <alignment horizontal="left" vertical="center" wrapText="1"/>
    </xf>
    <xf numFmtId="0" fontId="21" fillId="3" borderId="1" xfId="0" applyFont="1" applyFill="1" applyBorder="1" applyAlignment="1">
      <alignment horizontal="left" vertical="center"/>
    </xf>
    <xf numFmtId="0" fontId="21" fillId="3" borderId="1" xfId="0" applyFont="1" applyFill="1" applyBorder="1" applyAlignment="1">
      <alignment vertical="center"/>
    </xf>
    <xf numFmtId="0" fontId="21" fillId="3" borderId="21" xfId="0" applyFont="1" applyFill="1" applyBorder="1" applyAlignment="1">
      <alignment horizontal="left" vertical="center"/>
    </xf>
    <xf numFmtId="0" fontId="0" fillId="2" borderId="23" xfId="1" applyFont="1" applyBorder="1" applyAlignment="1">
      <alignment vertical="center" wrapText="1"/>
    </xf>
    <xf numFmtId="0" fontId="0" fillId="2" borderId="25" xfId="1" applyFont="1" applyBorder="1" applyAlignment="1">
      <alignment horizontal="left"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2" borderId="8" xfId="1" applyFont="1" applyBorder="1" applyAlignment="1">
      <alignment horizontal="right" vertical="center" wrapText="1"/>
    </xf>
    <xf numFmtId="0" fontId="2" fillId="5" borderId="9" xfId="2" applyBorder="1" applyAlignment="1">
      <alignment horizontal="right" vertical="center" wrapText="1"/>
    </xf>
    <xf numFmtId="0" fontId="2" fillId="5" borderId="4" xfId="2" applyBorder="1" applyAlignment="1">
      <alignment horizontal="right" vertical="center" wrapText="1"/>
    </xf>
    <xf numFmtId="0" fontId="2" fillId="5" borderId="5" xfId="2" applyBorder="1" applyAlignment="1">
      <alignment horizontal="right" vertical="center" wrapText="1"/>
    </xf>
    <xf numFmtId="0" fontId="0" fillId="2" borderId="9" xfId="1" applyFont="1" applyBorder="1" applyAlignment="1">
      <alignment horizontal="right" vertical="center" wrapText="1"/>
    </xf>
    <xf numFmtId="0" fontId="0" fillId="2" borderId="4" xfId="1" applyFont="1" applyBorder="1" applyAlignment="1">
      <alignment horizontal="right" vertical="center" wrapText="1"/>
    </xf>
    <xf numFmtId="0" fontId="0" fillId="2" borderId="5" xfId="1" applyFont="1" applyBorder="1" applyAlignment="1">
      <alignment horizontal="right" vertical="center" wrapText="1"/>
    </xf>
    <xf numFmtId="0" fontId="0" fillId="5" borderId="9" xfId="2" applyFont="1" applyBorder="1" applyAlignment="1">
      <alignment horizontal="right" vertical="center" wrapText="1"/>
    </xf>
    <xf numFmtId="0" fontId="0" fillId="5" borderId="4" xfId="2" applyFont="1" applyBorder="1" applyAlignment="1">
      <alignment horizontal="right" vertical="center" wrapText="1"/>
    </xf>
    <xf numFmtId="0" fontId="0" fillId="5" borderId="5" xfId="2" applyFont="1" applyBorder="1" applyAlignment="1">
      <alignment horizontal="right" vertical="center" wrapText="1"/>
    </xf>
    <xf numFmtId="0" fontId="2" fillId="5" borderId="24" xfId="2" applyBorder="1" applyAlignment="1">
      <alignment horizontal="right" vertical="center" wrapText="1"/>
    </xf>
    <xf numFmtId="0" fontId="2" fillId="5" borderId="24" xfId="2" applyBorder="1" applyAlignment="1">
      <alignment horizontal="left" vertical="center" wrapText="1"/>
    </xf>
    <xf numFmtId="0" fontId="2" fillId="5" borderId="25" xfId="2" applyBorder="1" applyAlignment="1">
      <alignment horizontal="left" vertical="center" wrapText="1"/>
    </xf>
    <xf numFmtId="0" fontId="2" fillId="5" borderId="22" xfId="2" applyBorder="1" applyAlignment="1">
      <alignment horizontal="left" vertical="center" wrapText="1"/>
    </xf>
    <xf numFmtId="0" fontId="2" fillId="5" borderId="26" xfId="2" quotePrefix="1" applyBorder="1" applyAlignment="1">
      <alignment vertical="center" wrapText="1"/>
    </xf>
    <xf numFmtId="0" fontId="2" fillId="5" borderId="28" xfId="2" applyBorder="1" applyAlignment="1">
      <alignment horizontal="left" vertical="center" wrapText="1"/>
    </xf>
    <xf numFmtId="0" fontId="0" fillId="0" borderId="0" xfId="2" applyFont="1" applyFill="1" applyAlignment="1">
      <alignment vertical="center" wrapText="1"/>
    </xf>
    <xf numFmtId="0" fontId="0" fillId="0" borderId="0" xfId="2" applyFont="1" applyFill="1" applyAlignment="1">
      <alignment horizontal="left" vertical="center" wrapText="1"/>
    </xf>
    <xf numFmtId="0" fontId="0" fillId="0" borderId="0" xfId="2" applyFont="1" applyFill="1" applyAlignment="1">
      <alignment horizontal="left" vertical="center"/>
    </xf>
    <xf numFmtId="0" fontId="22" fillId="4" borderId="0" xfId="0" applyFont="1" applyFill="1" applyAlignment="1">
      <alignment horizontal="left" vertical="top"/>
    </xf>
    <xf numFmtId="0" fontId="23" fillId="4" borderId="0" xfId="0" applyFont="1" applyFill="1" applyAlignment="1">
      <alignment vertical="top"/>
    </xf>
    <xf numFmtId="0" fontId="22" fillId="4" borderId="0" xfId="0" applyFont="1" applyFill="1" applyAlignment="1">
      <alignment vertical="top"/>
    </xf>
    <xf numFmtId="0" fontId="22" fillId="4" borderId="20" xfId="0" applyFont="1" applyFill="1" applyBorder="1" applyAlignment="1">
      <alignment horizontal="left" vertical="top"/>
    </xf>
    <xf numFmtId="0" fontId="22" fillId="4" borderId="0" xfId="0" applyFont="1" applyFill="1" applyAlignment="1">
      <alignment horizontal="center" vertical="top"/>
    </xf>
    <xf numFmtId="0" fontId="22" fillId="0" borderId="0" xfId="1" applyFont="1" applyFill="1" applyAlignment="1">
      <alignment vertical="center" wrapText="1"/>
    </xf>
    <xf numFmtId="0" fontId="22" fillId="0" borderId="0" xfId="1" applyFont="1" applyFill="1" applyBorder="1" applyAlignment="1">
      <alignment vertical="center" wrapText="1"/>
    </xf>
    <xf numFmtId="0" fontId="22" fillId="0" borderId="0" xfId="1" quotePrefix="1" applyFont="1" applyFill="1" applyBorder="1" applyAlignment="1">
      <alignment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0" fillId="0" borderId="0" xfId="0" applyAlignment="1">
      <alignment vertical="top" wrapText="1"/>
    </xf>
    <xf numFmtId="0" fontId="22" fillId="0" borderId="19" xfId="0" applyFont="1" applyBorder="1" applyAlignment="1">
      <alignment horizontal="left" vertical="top"/>
    </xf>
    <xf numFmtId="0" fontId="19" fillId="0" borderId="12" xfId="0" applyFont="1" applyBorder="1" applyAlignment="1">
      <alignment vertical="center" wrapText="1"/>
    </xf>
    <xf numFmtId="14" fontId="20" fillId="0" borderId="13" xfId="0" applyNumberFormat="1" applyFont="1" applyBorder="1" applyAlignment="1">
      <alignment horizontal="right" vertical="center" wrapText="1"/>
    </xf>
    <xf numFmtId="0" fontId="20" fillId="0" borderId="13" xfId="0" applyFont="1" applyBorder="1" applyAlignment="1">
      <alignment vertical="center" wrapText="1"/>
    </xf>
    <xf numFmtId="14" fontId="20" fillId="0" borderId="13" xfId="0" applyNumberFormat="1" applyFont="1" applyBorder="1" applyAlignment="1">
      <alignment vertical="center" wrapText="1"/>
    </xf>
    <xf numFmtId="0" fontId="19" fillId="0" borderId="17" xfId="0" applyFont="1" applyBorder="1" applyAlignment="1">
      <alignment vertical="center" wrapText="1"/>
    </xf>
    <xf numFmtId="0" fontId="20" fillId="0" borderId="18" xfId="0" applyFont="1" applyBorder="1" applyAlignment="1">
      <alignment vertical="center" wrapText="1"/>
    </xf>
    <xf numFmtId="14" fontId="20" fillId="0" borderId="18" xfId="0" applyNumberFormat="1" applyFont="1" applyBorder="1" applyAlignment="1">
      <alignment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0" fillId="0" borderId="0" xfId="0" applyAlignment="1">
      <alignment horizontal="left" wrapText="1"/>
    </xf>
    <xf numFmtId="0" fontId="25" fillId="0" borderId="0" xfId="0" applyFont="1" applyAlignment="1">
      <alignment horizontal="left" vertical="center" indent="1"/>
    </xf>
    <xf numFmtId="0" fontId="26" fillId="0" borderId="0" xfId="0" applyFont="1"/>
    <xf numFmtId="0" fontId="28" fillId="0" borderId="0" xfId="0" applyFont="1"/>
    <xf numFmtId="0" fontId="22" fillId="0" borderId="0" xfId="2" applyFont="1" applyFill="1" applyAlignment="1">
      <alignment horizontal="left" vertical="center"/>
    </xf>
    <xf numFmtId="0" fontId="0" fillId="4" borderId="0" xfId="0" applyFill="1" applyAlignment="1">
      <alignment vertical="top" wrapText="1"/>
    </xf>
    <xf numFmtId="0" fontId="0" fillId="0" borderId="31" xfId="0" applyBorder="1" applyAlignment="1">
      <alignment horizontal="left" vertical="top" wrapText="1"/>
    </xf>
    <xf numFmtId="0" fontId="0" fillId="0" borderId="31" xfId="0" applyBorder="1" applyAlignment="1">
      <alignment horizontal="center" vertical="top"/>
    </xf>
    <xf numFmtId="0" fontId="0" fillId="0" borderId="31" xfId="0" applyBorder="1" applyAlignment="1">
      <alignment horizontal="left" vertical="top"/>
    </xf>
    <xf numFmtId="0" fontId="7" fillId="0" borderId="31" xfId="0" applyFont="1" applyBorder="1" applyAlignment="1">
      <alignment vertical="top"/>
    </xf>
    <xf numFmtId="0" fontId="0" fillId="0" borderId="31" xfId="0" applyBorder="1" applyAlignment="1">
      <alignment vertical="top"/>
    </xf>
    <xf numFmtId="0" fontId="0" fillId="0" borderId="32" xfId="0" applyBorder="1" applyAlignment="1">
      <alignment horizontal="left" vertical="top"/>
    </xf>
    <xf numFmtId="0" fontId="0" fillId="0" borderId="31" xfId="0" applyBorder="1" applyAlignment="1">
      <alignment vertical="top" wrapText="1"/>
    </xf>
    <xf numFmtId="0" fontId="3" fillId="3" borderId="2" xfId="8" applyFont="1" applyFill="1" applyBorder="1" applyAlignment="1">
      <alignment horizontal="left" vertical="center"/>
    </xf>
    <xf numFmtId="0" fontId="3" fillId="3" borderId="2" xfId="0" applyFont="1" applyFill="1" applyBorder="1" applyAlignment="1">
      <alignment horizontal="left" vertical="top" textRotation="90" wrapText="1"/>
    </xf>
    <xf numFmtId="0" fontId="26" fillId="0" borderId="0" xfId="0" applyFont="1" applyAlignment="1">
      <alignment horizontal="left" vertical="top" wrapText="1"/>
    </xf>
    <xf numFmtId="0" fontId="26" fillId="0" borderId="0" xfId="0" applyFont="1" applyAlignment="1">
      <alignment horizontal="center" vertical="top" wrapText="1"/>
    </xf>
    <xf numFmtId="0" fontId="27" fillId="0" borderId="0" xfId="0" applyFont="1" applyAlignment="1">
      <alignment horizontal="left" vertical="top" wrapText="1"/>
    </xf>
    <xf numFmtId="0" fontId="30" fillId="0" borderId="0" xfId="0" applyFont="1"/>
    <xf numFmtId="0" fontId="1" fillId="4" borderId="0" xfId="0" applyFont="1" applyFill="1" applyAlignment="1">
      <alignment vertical="top" wrapText="1"/>
    </xf>
    <xf numFmtId="0" fontId="12" fillId="4" borderId="0" xfId="0" applyFont="1" applyFill="1" applyAlignment="1">
      <alignment vertical="top" wrapText="1"/>
    </xf>
    <xf numFmtId="0" fontId="0" fillId="4" borderId="0" xfId="0" applyFill="1" applyAlignment="1">
      <alignment horizontal="center" vertical="top" wrapText="1"/>
    </xf>
    <xf numFmtId="0" fontId="3" fillId="3" borderId="1" xfId="0" applyFont="1" applyFill="1" applyBorder="1" applyAlignment="1">
      <alignment horizontal="left" vertical="top" wrapText="1"/>
    </xf>
    <xf numFmtId="0" fontId="31" fillId="0" borderId="0" xfId="0" applyFont="1" applyAlignment="1">
      <alignment vertical="top" wrapText="1"/>
    </xf>
    <xf numFmtId="0" fontId="26" fillId="0" borderId="0" xfId="0" applyFont="1" applyAlignment="1">
      <alignment vertical="top" wrapText="1"/>
    </xf>
    <xf numFmtId="0" fontId="33" fillId="4" borderId="0" xfId="0" applyFont="1" applyFill="1" applyAlignment="1">
      <alignment horizontal="left" vertical="top" wrapText="1"/>
    </xf>
    <xf numFmtId="0" fontId="33" fillId="0" borderId="0" xfId="0" applyFont="1" applyAlignment="1">
      <alignment vertical="top" wrapText="1"/>
    </xf>
    <xf numFmtId="0" fontId="33" fillId="4" borderId="0" xfId="0" applyFont="1" applyFill="1" applyAlignment="1">
      <alignment vertical="top" wrapText="1"/>
    </xf>
    <xf numFmtId="0" fontId="33" fillId="4" borderId="19" xfId="0" applyFont="1" applyFill="1" applyBorder="1" applyAlignment="1">
      <alignment horizontal="left" vertical="top" wrapText="1"/>
    </xf>
    <xf numFmtId="0" fontId="26" fillId="4" borderId="0" xfId="0" applyFont="1" applyFill="1" applyAlignment="1">
      <alignment horizontal="left" vertical="top" wrapText="1"/>
    </xf>
    <xf numFmtId="0" fontId="26" fillId="4" borderId="0" xfId="0" applyFont="1" applyFill="1" applyAlignment="1">
      <alignment vertical="top" wrapText="1"/>
    </xf>
    <xf numFmtId="0" fontId="31" fillId="4" borderId="0" xfId="0" applyFont="1" applyFill="1" applyAlignment="1">
      <alignment vertical="top" wrapText="1"/>
    </xf>
    <xf numFmtId="0" fontId="0" fillId="0" borderId="0" xfId="0" applyAlignment="1">
      <alignment wrapText="1"/>
    </xf>
    <xf numFmtId="0" fontId="26" fillId="0" borderId="0" xfId="0" applyFont="1" applyAlignment="1">
      <alignment vertical="top"/>
    </xf>
    <xf numFmtId="0" fontId="34" fillId="0" borderId="0" xfId="0" applyFont="1"/>
    <xf numFmtId="0" fontId="3" fillId="3" borderId="1" xfId="0" applyFont="1" applyFill="1" applyBorder="1" applyAlignment="1">
      <alignment horizontal="left" vertical="top" textRotation="90" wrapText="1"/>
    </xf>
    <xf numFmtId="0" fontId="26" fillId="9" borderId="31" xfId="0" applyFont="1" applyFill="1" applyBorder="1" applyAlignment="1">
      <alignment vertical="top"/>
    </xf>
    <xf numFmtId="0" fontId="26" fillId="0" borderId="31" xfId="0" applyFont="1" applyBorder="1" applyAlignment="1">
      <alignment vertical="top"/>
    </xf>
    <xf numFmtId="0" fontId="3" fillId="3" borderId="2" xfId="8" applyFont="1" applyFill="1" applyBorder="1" applyAlignment="1">
      <alignment horizontal="left" vertical="center" wrapText="1"/>
    </xf>
    <xf numFmtId="0" fontId="0" fillId="9" borderId="31" xfId="0" applyFill="1" applyBorder="1" applyAlignment="1">
      <alignment horizontal="left" vertical="top" wrapText="1"/>
    </xf>
    <xf numFmtId="0" fontId="19" fillId="10" borderId="12" xfId="0" applyFont="1" applyBorder="1" applyAlignment="1" applyFill="1">
      <alignment vertical="center" wrapText="1"/>
    </xf>
    <xf numFmtId="14" fontId="20" fillId="10" borderId="13" xfId="0" applyNumberFormat="1" applyFont="1" applyBorder="1" applyAlignment="1" applyFill="1">
      <alignment horizontal="right" vertical="center" wrapText="1"/>
    </xf>
    <xf numFmtId="0" fontId="20" fillId="10" borderId="13" xfId="0" applyFont="1" applyBorder="1" applyAlignment="1" applyFill="1">
      <alignment vertical="center" wrapText="1"/>
    </xf>
    <xf numFmtId="0" fontId="0" fillId="10" borderId="0" xfId="0" applyAlignment="1" applyFill="1">
      <alignment horizontal="left"/>
    </xf>
    <xf numFmtId="0" fontId="0" fillId="10" borderId="0" xfId="0" applyAlignment="1" applyFill="1">
      <alignment horizontal="left"/>
    </xf>
    <xf numFmtId="0" fontId="0" fillId="10" borderId="0" xfId="0" applyAlignment="1" applyFill="1">
      <alignment horizontal="center"/>
    </xf>
    <xf numFmtId="0" fontId="0" fillId="10" borderId="7" xfId="1" applyFont="1" applyBorder="1" applyAlignment="1" applyFill="1">
      <alignment vertical="center" wrapText="1"/>
    </xf>
    <xf numFmtId="0" fontId="0" fillId="10" borderId="11" xfId="1" applyFont="1" applyBorder="1" applyAlignment="1" applyFill="1">
      <alignment horizontal="left" vertical="center" wrapText="1"/>
    </xf>
    <xf numFmtId="0" fontId="0" fillId="10" borderId="3" xfId="2" applyFont="1" applyBorder="1" applyAlignment="1" applyFill="1">
      <alignment horizontal="left" vertical="center" wrapText="1"/>
    </xf>
    <xf numFmtId="0" fontId="2" fillId="10" borderId="3" xfId="2" applyBorder="1" applyAlignment="1" applyFill="1">
      <alignment horizontal="left" vertical="center" wrapText="1"/>
    </xf>
    <xf numFmtId="0" fontId="0" fillId="10" borderId="7" xfId="2" applyFont="1" applyBorder="1" applyAlignment="1" applyFill="1">
      <alignment vertical="center" wrapText="1"/>
    </xf>
    <xf numFmtId="0" fontId="0" fillId="10" borderId="11" xfId="2" applyFont="1" applyBorder="1" applyAlignment="1" applyFill="1">
      <alignment horizontal="left" vertical="center" wrapText="1"/>
    </xf>
    <xf numFmtId="0" fontId="0" fillId="10" borderId="30" xfId="2" applyFont="1" applyBorder="1" applyAlignment="1" applyFill="1">
      <alignment horizontal="left" vertical="center" wrapText="1"/>
    </xf>
    <xf numFmtId="0" fontId="0" fillId="10" borderId="27" xfId="2" applyFont="1" applyBorder="1" applyAlignment="1" applyFill="1">
      <alignment horizontal="left" vertical="center" wrapText="1"/>
    </xf>
    <xf numFmtId="0" fontId="0" fillId="10" borderId="3" xfId="1" applyFont="1" applyBorder="1" applyAlignment="1" applyFill="1">
      <alignment horizontal="left" vertical="center" wrapText="1"/>
    </xf>
    <xf numFmtId="0" fontId="0" fillId="10" borderId="29" xfId="1" applyFont="1" applyBorder="1" applyAlignment="1" applyFill="1">
      <alignment vertical="center" wrapText="1"/>
    </xf>
    <xf numFmtId="0" fontId="0" fillId="10" borderId="30" xfId="1" applyFont="1" applyBorder="1" applyAlignment="1" applyFill="1">
      <alignment horizontal="left" vertical="center" wrapText="1"/>
    </xf>
    <xf numFmtId="0" fontId="0" fillId="10" borderId="27" xfId="1" applyFont="1" applyBorder="1" applyAlignment="1" applyFill="1">
      <alignment horizontal="left" vertical="center" wrapText="1"/>
    </xf>
    <xf numFmtId="0" fontId="0" fillId="10" borderId="29" xfId="2" quotePrefix="1" applyFont="1" applyBorder="1" applyAlignment="1" applyFill="1">
      <alignment vertical="center" wrapText="1"/>
    </xf>
    <xf numFmtId="0" fontId="2" fillId="10" borderId="7" xfId="2" applyBorder="1" applyAlignment="1" applyFill="1">
      <alignment vertical="center" wrapText="1"/>
    </xf>
    <xf numFmtId="0" fontId="0" fillId="10" borderId="29" xfId="2" applyFont="1" applyBorder="1" applyAlignment="1" applyFill="1">
      <alignment vertical="center" wrapText="1"/>
    </xf>
    <xf numFmtId="0" fontId="0" fillId="10" borderId="9" xfId="1" applyFont="1" applyBorder="1" applyAlignment="1" applyFill="1">
      <alignment horizontal="right" vertical="center" wrapText="1"/>
    </xf>
    <xf numFmtId="0" fontId="0" fillId="10" borderId="3" xfId="1" applyFont="1" applyBorder="1" applyAlignment="1" applyFill="1">
      <alignment vertical="center" wrapText="1"/>
    </xf>
    <xf numFmtId="0" fontId="0" fillId="10" borderId="8" xfId="1" applyFont="1" applyBorder="1" applyAlignment="1" applyFill="1">
      <alignment horizontal="left" vertical="center" wrapText="1"/>
    </xf>
    <xf numFmtId="0" fontId="0" fillId="10" borderId="6" xfId="1" applyFont="1" applyBorder="1" applyAlignment="1" applyFill="1">
      <alignment vertical="center" wrapText="1"/>
    </xf>
    <xf numFmtId="0" fontId="0" fillId="10" borderId="0" xfId="1" applyFont="1" applyBorder="1" applyAlignment="1" applyFill="1">
      <alignment horizontal="left" vertical="center" wrapText="1"/>
    </xf>
    <xf numFmtId="0" fontId="0" fillId="10" borderId="2" xfId="1" applyFont="1" applyBorder="1" applyAlignment="1" applyFill="1">
      <alignment vertical="center" wrapText="1"/>
    </xf>
    <xf numFmtId="0" fontId="0" fillId="10" borderId="11" xfId="1" applyFont="1" applyBorder="1" applyAlignment="1" applyFill="1">
      <alignment horizontal="left" vertical="center" wrapText="1"/>
    </xf>
    <xf numFmtId="0" fontId="0" fillId="10" borderId="25" xfId="1" applyFont="1" applyBorder="1" applyAlignment="1" applyFill="1">
      <alignment horizontal="left" vertical="center" wrapText="1"/>
    </xf>
    <xf numFmtId="0" fontId="3" fillId="10" borderId="1" xfId="0" applyFont="1" applyFill="1" applyBorder="1" applyAlignment="1">
      <alignment horizontal="left" vertical="center"/>
    </xf>
    <xf numFmtId="0" fontId="0" fillId="10" borderId="0" xfId="1" applyFont="1" applyFill="1" applyBorder="1" applyAlignment="1">
      <alignment horizontal="center" vertical="center" wrapText="1"/>
    </xf>
    <xf numFmtId="0" fontId="0" fillId="10" borderId="0" xfId="1" applyFont="1" applyFill="1" applyBorder="1" applyAlignment="1">
      <alignment horizontal="left" vertical="center" wrapText="1"/>
    </xf>
    <xf numFmtId="0" fontId="16" fillId="10" borderId="0" xfId="1" applyFont="1" applyFill="1" applyBorder="1" applyAlignment="1">
      <alignment horizontal="center" vertical="center" wrapText="1"/>
    </xf>
    <xf numFmtId="0" fontId="0" fillId="10" borderId="0" xfId="2" applyFont="1" applyFill="1" applyBorder="1" applyAlignment="1">
      <alignment horizontal="center" vertical="center" wrapText="1"/>
    </xf>
    <xf numFmtId="0" fontId="0" fillId="10" borderId="0" xfId="2" applyFont="1" applyFill="1" applyBorder="1" applyAlignment="1">
      <alignment horizontal="left" vertical="center" wrapText="1"/>
    </xf>
    <xf numFmtId="0" fontId="0" fillId="10" borderId="0" xfId="1" applyFont="1" applyFill="1" applyBorder="1" applyAlignment="1">
      <alignment horizontal="center" vertical="center" wrapText="1"/>
    </xf>
    <xf numFmtId="0" fontId="0" fillId="10" borderId="0" xfId="1" applyFont="1" applyFill="1" applyBorder="1" applyAlignment="1">
      <alignment horizontal="left" vertical="center" wrapText="1"/>
    </xf>
    <xf numFmtId="0" fontId="16" fillId="10" borderId="0" xfId="1" applyFont="1" applyFill="1" applyBorder="1" applyAlignment="1">
      <alignment horizontal="center" vertical="center" wrapText="1"/>
    </xf>
    <xf numFmtId="0" fontId="0" fillId="10" borderId="0" xfId="1" applyFont="1" applyFill="1" applyBorder="1" applyAlignment="1">
      <alignment vertical="center" wrapText="1"/>
    </xf>
    <xf numFmtId="0" fontId="0" fillId="10" borderId="0" xfId="1" applyFont="1" applyFill="1" applyBorder="1" applyAlignment="1">
      <alignment vertical="center" wrapText="1"/>
    </xf>
    <xf numFmtId="0" fontId="3" fillId="10" borderId="2" xfId="0" applyFont="1" applyFill="1" applyBorder="1" applyAlignment="1">
      <alignment horizontal="left" vertical="top" textRotation="90" wrapText="1"/>
    </xf>
    <xf numFmtId="0" fontId="26" fillId="10" borderId="0" xfId="0" applyFont="1" applyAlignment="1" applyFill="1">
      <alignment horizontal="center" vertical="top" wrapText="1"/>
    </xf>
    <xf numFmtId="0" fontId="26" fillId="10" borderId="0" xfId="0" applyFont="1" applyAlignment="1" applyFill="1">
      <alignment horizontal="left" vertical="top" wrapText="1"/>
    </xf>
    <xf numFmtId="0" fontId="0" fillId="10" borderId="0" xfId="0" applyAlignment="1" applyFill="1">
      <alignment horizontal="left" vertical="top" wrapText="1"/>
    </xf>
    <xf numFmtId="0" fontId="26" fillId="10" borderId="0" xfId="0" applyFont="1" applyAlignment="1" applyFill="1">
      <alignment horizontal="left" vertical="top" wrapText="1"/>
    </xf>
    <xf numFmtId="0" fontId="26" fillId="10" borderId="0" xfId="0" applyFont="1" applyAlignment="1" applyFill="1">
      <alignment vertical="top" wrapText="1"/>
    </xf>
    <xf numFmtId="0" fontId="27" fillId="10" borderId="0" xfId="0" applyFont="1" applyAlignment="1" applyFill="1">
      <alignment horizontal="left" vertical="top" wrapText="1"/>
    </xf>
    <xf numFmtId="0" fontId="31" fillId="10" borderId="0" xfId="0" applyFont="1" applyAlignment="1" applyFill="1">
      <alignment vertical="top" wrapText="1"/>
    </xf>
    <xf numFmtId="0" fontId="33" fillId="10" borderId="0" xfId="0" applyFont="1" applyFill="1" applyAlignment="1">
      <alignment horizontal="left" vertical="top" wrapText="1"/>
    </xf>
    <xf numFmtId="0" fontId="0" fillId="10" borderId="0" xfId="0" applyFill="1" applyAlignment="1">
      <alignment vertical="top" wrapText="1"/>
    </xf>
    <xf numFmtId="0" fontId="26" fillId="10" borderId="0" xfId="0" applyFont="1" applyFill="1" applyAlignment="1">
      <alignment horizontal="left" vertical="top" wrapText="1"/>
    </xf>
    <xf numFmtId="0" fontId="33" fillId="10" borderId="0" xfId="0" applyFont="1" applyAlignment="1" applyFill="1">
      <alignment vertical="top" wrapText="1"/>
    </xf>
    <xf numFmtId="0" fontId="33" fillId="10" borderId="0" xfId="0" applyFont="1" applyFill="1" applyAlignment="1">
      <alignment vertical="top" wrapText="1"/>
    </xf>
    <xf numFmtId="0" fontId="0" fillId="10" borderId="32" xfId="0" applyBorder="1" applyAlignment="1" applyFill="1">
      <alignment horizontal="left" vertical="top"/>
    </xf>
    <xf numFmtId="0" fontId="0" fillId="10" borderId="31" xfId="0" applyBorder="1" applyAlignment="1" applyFill="1">
      <alignment horizontal="center" vertical="top"/>
    </xf>
    <xf numFmtId="0" fontId="0" fillId="10" borderId="31" xfId="0" applyBorder="1" applyAlignment="1" applyFill="1">
      <alignment horizontal="left" vertical="top" wrapText="1"/>
    </xf>
    <xf numFmtId="0" fontId="26" fillId="10" borderId="0" xfId="0" applyFont="1" applyAlignment="1" applyFill="1">
      <alignment horizontal="center" vertical="top" wrapText="1"/>
    </xf>
    <xf numFmtId="0" fontId="0" fillId="10" borderId="0" xfId="0" applyAlignment="1" applyFill="1">
      <alignment horizontal="left" vertical="top"/>
    </xf>
    <xf numFmtId="0" fontId="0" fillId="10" borderId="0" xfId="0" applyFill="1"/>
    <xf numFmtId="0" fontId="1" fillId="10" borderId="0" xfId="0" applyFont="1" applyFill="1" applyAlignment="1">
      <alignment horizontal="left" vertical="top"/>
    </xf>
    <xf numFmtId="0" fontId="22" fillId="10" borderId="0" xfId="1" applyFont="1" applyFill="1" applyBorder="1" applyAlignment="1">
      <alignment vertical="center" wrapText="1"/>
    </xf>
    <xf numFmtId="0" fontId="22" fillId="10" borderId="0" xfId="1" quotePrefix="1" applyFont="1" applyFill="1" applyBorder="1" applyAlignment="1">
      <alignment vertical="center" wrapText="1"/>
    </xf>
    <xf numFmtId="0" fontId="2" fillId="10" borderId="0" xfId="1" applyFill="1" applyBorder="1" applyAlignment="1">
      <alignment vertical="center" wrapText="1"/>
    </xf>
    <xf numFmtId="0" fontId="0" fillId="10" borderId="0" xfId="0" applyAlignment="1" applyFill="1">
      <alignment horizontal="left" vertical="center"/>
    </xf>
    <xf numFmtId="0" fontId="2" fillId="10" borderId="0" xfId="2" applyFill="1" applyBorder="1" applyAlignment="1">
      <alignment horizontal="left" vertical="center" wrapText="1"/>
    </xf>
    <xf numFmtId="0" fontId="2" fillId="10" borderId="0" xfId="2" applyFill="1" applyBorder="1" applyAlignment="1">
      <alignment horizontal="center" vertical="center" wrapText="1"/>
    </xf>
    <xf numFmtId="0" fontId="0" fillId="10" borderId="0" xfId="0" applyAlignment="1" applyFill="1">
      <alignment horizontal="center" vertical="center"/>
    </xf>
  </cellXfs>
  <cellStyles count="9">
    <cellStyle name="20% - Accent1" xfId="1" builtinId="30"/>
    <cellStyle name="40% - Accent1" xfId="2" builtinId="31"/>
    <cellStyle name="Hyperlink" xfId="7" builtinId="8"/>
    <cellStyle name="Normal" xfId="0" builtinId="0"/>
    <cellStyle name="Normal 2" xfId="3" xr:uid="{00000000-0005-0000-0000-000005000000}"/>
    <cellStyle name="Normal 2 2" xfId="5" xr:uid="{00000000-0005-0000-0000-000006000000}"/>
    <cellStyle name="Normal 3" xfId="6" xr:uid="{00000000-0005-0000-0000-000007000000}"/>
    <cellStyle name="Normal 4" xfId="4" xr:uid="{00000000-0005-0000-0000-000008000000}"/>
    <cellStyle name="Normal 5" xfId="8" xr:uid="{8B2314B0-5755-4C1D-9BA1-BA3473462402}"/>
  </cellStyles>
  <dxfs count="1957">
    <dxf>
      <alignment horizontal="left" vertical="center" textRotation="0" wrapText="1" indent="0" justifyLastLine="0" shrinkToFit="0" readingOrder="0"/>
      <border diagonalUp="0" diagonalDown="0" outline="0">
        <left/>
        <right/>
        <top style="thin">
          <color auto="1"/>
        </top>
        <bottom/>
      </border>
    </dxf>
    <dxf>
      <border diagonalUp="0" diagonalDown="0" outline="0">
        <left/>
        <right/>
        <top style="thin">
          <color auto="1"/>
        </top>
        <bottom/>
      </border>
    </dxf>
    <dxf>
      <alignment horizontal="left" vertical="center" textRotation="0" wrapText="1" indent="0" justifyLastLine="0" shrinkToFit="0" readingOrder="0"/>
      <border diagonalUp="0" diagonalDown="0" outline="0">
        <left/>
        <right/>
        <top style="thin">
          <color auto="1"/>
        </top>
        <bottom/>
      </border>
    </dxf>
    <dxf>
      <alignment horizontal="left" vertical="center" textRotation="0" wrapText="1" indent="0" justifyLastLine="0" shrinkToFit="0" readingOrder="0"/>
      <border diagonalUp="0" diagonalDown="0" outline="0">
        <left/>
        <right/>
        <top style="thin">
          <color auto="1"/>
        </top>
        <bottom/>
      </border>
    </dxf>
    <dxf>
      <alignment horizontal="left" vertical="bottom" textRotation="0" wrapText="0" indent="0" justifyLastLine="0" shrinkToFit="0" readingOrder="0"/>
      <border diagonalUp="0" diagonalDown="0" outline="0">
        <left/>
        <right/>
        <top style="thin">
          <color auto="1"/>
        </top>
        <bottom/>
      </border>
    </dxf>
    <dxf>
      <alignment horizontal="center" vertical="center" textRotation="0" wrapText="1" indent="0" justifyLastLine="0" shrinkToFit="0" readingOrder="0"/>
      <border diagonalUp="0" diagonalDown="0" outline="0">
        <left/>
        <right/>
        <top style="thin">
          <color auto="1"/>
        </top>
        <bottom/>
      </border>
    </dxf>
    <dxf>
      <font>
        <color theme="0" tint="-0.14996795556505021"/>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strike/>
        <color rgb="FFFF0000"/>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color theme="0" tint="-0.24994659260841701"/>
      </font>
    </dxf>
    <dxf>
      <font>
        <strike/>
        <color rgb="FFFF0000"/>
      </font>
    </dxf>
    <dxf>
      <font>
        <color theme="0" tint="-0.24994659260841701"/>
      </font>
    </dxf>
    <dxf>
      <font>
        <b/>
        <i val="0"/>
        <color rgb="FF00B050"/>
      </font>
    </dxf>
    <dxf>
      <font>
        <color theme="0" tint="-0.24994659260841701"/>
      </font>
    </dxf>
    <dxf>
      <font>
        <b/>
        <i val="0"/>
        <color rgb="FF00B050"/>
      </font>
    </dxf>
    <dxf>
      <font>
        <strike/>
        <color rgb="FFFF0000"/>
      </font>
    </dxf>
    <dxf>
      <font>
        <b/>
        <i val="0"/>
        <color rgb="FF00B050"/>
      </font>
    </dxf>
    <dxf>
      <font>
        <b/>
        <i val="0"/>
        <color rgb="FF00B050"/>
      </font>
    </dxf>
    <dxf>
      <font>
        <color theme="0" tint="-0.24994659260841701"/>
      </font>
    </dxf>
    <dxf>
      <font>
        <color theme="0" tint="-0.24994659260841701"/>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b/>
        <i val="0"/>
        <color rgb="FF00B05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strike/>
        <color rgb="FFFF0000"/>
      </font>
    </dxf>
    <dxf>
      <font>
        <color theme="0" tint="-0.24994659260841701"/>
      </font>
    </dxf>
    <dxf>
      <font>
        <color theme="0" tint="-0.24994659260841701"/>
      </font>
    </dxf>
    <dxf>
      <font>
        <strike/>
        <color rgb="FFFF0000"/>
      </font>
    </dxf>
    <dxf>
      <font>
        <b/>
        <i val="0"/>
        <color rgb="FF00B050"/>
      </font>
    </dxf>
    <dxf>
      <font>
        <b/>
        <i val="0"/>
        <color rgb="FF00B050"/>
      </font>
    </dxf>
    <dxf>
      <font>
        <color theme="0" tint="-0.24994659260841701"/>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color theme="0" tint="-0.24994659260841701"/>
      </font>
    </dxf>
    <dxf>
      <font>
        <color theme="0" tint="-0.24994659260841701"/>
      </font>
    </dxf>
    <dxf>
      <font>
        <b/>
        <i val="0"/>
        <color rgb="FF00B050"/>
      </font>
    </dxf>
    <dxf>
      <font>
        <color theme="0" tint="-0.24994659260841701"/>
      </font>
    </dxf>
    <dxf>
      <font>
        <color theme="0" tint="-0.24994659260841701"/>
      </font>
    </dxf>
    <dxf>
      <font>
        <strike/>
        <color rgb="FFFF0000"/>
      </font>
    </dxf>
    <dxf>
      <font>
        <color theme="0" tint="-0.24994659260841701"/>
      </font>
    </dxf>
    <dxf>
      <font>
        <color theme="0" tint="-0.24994659260841701"/>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color theme="0" tint="-0.24994659260841701"/>
      </font>
    </dxf>
    <dxf>
      <font>
        <strike/>
        <color rgb="FFFF0000"/>
      </font>
    </dxf>
    <dxf>
      <font>
        <color theme="0" tint="-0.24994659260841701"/>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b/>
        <i val="0"/>
        <color rgb="FF00B050"/>
      </font>
    </dxf>
    <dxf>
      <font>
        <b/>
        <i val="0"/>
        <color rgb="FF00B050"/>
      </font>
    </dxf>
    <dxf>
      <font>
        <strike/>
        <color rgb="FFFF0000"/>
      </font>
    </dxf>
    <dxf>
      <font>
        <color theme="0" tint="-0.24994659260841701"/>
      </font>
    </dxf>
    <dxf>
      <font>
        <strike/>
        <color rgb="FFFF0000"/>
      </font>
    </dxf>
    <dxf>
      <font>
        <strike/>
        <color rgb="FFFF0000"/>
      </font>
    </dxf>
    <dxf>
      <font>
        <b/>
        <i val="0"/>
        <color rgb="FF00B050"/>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color theme="0" tint="-0.24994659260841701"/>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b/>
        <i val="0"/>
        <color rgb="FF00B050"/>
      </font>
    </dxf>
    <dxf>
      <font>
        <b/>
        <i val="0"/>
        <color rgb="FF00B050"/>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color theme="0" tint="-0.24994659260841701"/>
      </font>
    </dxf>
    <dxf>
      <font>
        <b/>
        <i val="0"/>
        <color rgb="FF00B050"/>
      </font>
    </dxf>
    <dxf>
      <font>
        <color theme="0" tint="-0.24994659260841701"/>
      </font>
    </dxf>
    <dxf>
      <font>
        <b/>
        <i val="0"/>
        <color rgb="FF00B050"/>
      </font>
    </dxf>
    <dxf>
      <font>
        <color theme="0" tint="-0.24994659260841701"/>
      </font>
    </dxf>
    <dxf>
      <font>
        <b/>
        <i val="0"/>
        <color rgb="FF00B050"/>
      </font>
    </dxf>
    <dxf>
      <font>
        <color theme="0" tint="-0.24994659260841701"/>
      </font>
    </dxf>
    <dxf>
      <font>
        <b/>
        <i val="0"/>
        <color rgb="FF00B050"/>
      </font>
    </dxf>
    <dxf>
      <font>
        <b/>
        <i val="0"/>
        <color rgb="FF00B050"/>
      </font>
    </dxf>
    <dxf>
      <font>
        <color theme="0" tint="-0.24994659260841701"/>
      </font>
    </dxf>
    <dxf>
      <font>
        <b/>
        <i val="0"/>
        <color rgb="FF00B050"/>
      </font>
    </dxf>
    <dxf>
      <font>
        <color theme="0" tint="-0.24994659260841701"/>
      </font>
    </dxf>
    <dxf>
      <font>
        <b/>
        <i val="0"/>
        <color rgb="FF00B050"/>
      </font>
    </dxf>
    <dxf>
      <font>
        <color theme="0" tint="-0.24994659260841701"/>
      </font>
    </dxf>
    <dxf>
      <font>
        <b/>
        <i val="0"/>
        <color rgb="FF00B050"/>
      </font>
    </dxf>
    <dxf>
      <font>
        <color theme="0" tint="-0.24994659260841701"/>
      </font>
    </dxf>
    <dxf>
      <font>
        <color theme="0" tint="-0.24994659260841701"/>
      </font>
    </dxf>
    <dxf>
      <font>
        <b/>
        <i val="0"/>
        <color rgb="FF00B050"/>
      </font>
    </dxf>
    <dxf>
      <font>
        <b/>
        <i val="0"/>
        <color rgb="FF00B050"/>
      </font>
    </dxf>
    <dxf>
      <font>
        <color theme="0" tint="-0.24994659260841701"/>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color theme="0" tint="-0.24994659260841701"/>
      </font>
    </dxf>
    <dxf>
      <font>
        <b/>
        <i val="0"/>
        <color rgb="FF00B050"/>
      </font>
    </dxf>
    <dxf>
      <font>
        <b/>
        <i val="0"/>
        <color rgb="FF00B050"/>
      </font>
    </dxf>
    <dxf>
      <font>
        <color theme="0" tint="-0.24994659260841701"/>
      </font>
    </dxf>
    <dxf>
      <font>
        <strike/>
        <color rgb="FFFF0000"/>
      </font>
    </dxf>
    <dxf>
      <font>
        <color theme="0" tint="-0.24994659260841701"/>
      </font>
    </dxf>
    <dxf>
      <font>
        <color theme="0" tint="-0.24994659260841701"/>
      </font>
    </dxf>
    <dxf>
      <font>
        <strike/>
        <color rgb="FFFF0000"/>
      </font>
    </dxf>
    <dxf>
      <font>
        <strike/>
        <color rgb="FFFF000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color theme="0" tint="-0.24994659260841701"/>
      </font>
    </dxf>
    <dxf>
      <font>
        <strike/>
        <color rgb="FFFF0000"/>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b/>
        <i val="0"/>
        <color rgb="FF00B050"/>
      </font>
    </dxf>
    <dxf>
      <font>
        <strike/>
        <color rgb="FFFF0000"/>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color theme="0" tint="-0.24994659260841701"/>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strike/>
        <color rgb="FFFF0000"/>
      </font>
    </dxf>
    <dxf>
      <font>
        <color theme="0" tint="-0.24994659260841701"/>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color theme="0" tint="-0.24994659260841701"/>
      </font>
    </dxf>
    <dxf>
      <font>
        <b/>
        <i val="0"/>
        <color rgb="FF00B050"/>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strike/>
        <color rgb="FFFF0000"/>
      </font>
    </dxf>
    <dxf>
      <font>
        <color theme="0" tint="-0.24994659260841701"/>
      </font>
    </dxf>
    <dxf>
      <font>
        <b/>
        <i val="0"/>
        <color rgb="FF00B050"/>
      </font>
    </dxf>
    <dxf>
      <font>
        <strike/>
        <color rgb="FFFF0000"/>
      </font>
    </dxf>
    <dxf>
      <font>
        <strike/>
        <color rgb="FFFF0000"/>
      </font>
    </dxf>
    <dxf>
      <font>
        <b/>
        <i val="0"/>
        <color rgb="FF00B050"/>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color theme="0" tint="-0.24994659260841701"/>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b/>
        <i val="0"/>
        <color rgb="FF00B05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color theme="0" tint="-0.24994659260841701"/>
      </font>
    </dxf>
    <dxf>
      <font>
        <strike/>
        <color rgb="FFFF0000"/>
      </font>
    </dxf>
    <dxf>
      <font>
        <b/>
        <i val="0"/>
        <color rgb="FF00B05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strike/>
        <color rgb="FFFF0000"/>
      </font>
    </dxf>
    <dxf>
      <font>
        <b/>
        <i val="0"/>
        <color rgb="FF00B05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color theme="0" tint="-0.24994659260841701"/>
      </font>
    </dxf>
    <dxf>
      <font>
        <b/>
        <i val="0"/>
        <color rgb="FF00B050"/>
      </font>
    </dxf>
    <dxf>
      <font>
        <strike/>
        <color rgb="FFFF0000"/>
      </font>
    </dxf>
    <dxf>
      <font>
        <color theme="0" tint="-0.24994659260841701"/>
      </font>
    </dxf>
    <dxf>
      <font>
        <b/>
        <i val="0"/>
        <color rgb="FF00B050"/>
      </font>
    </dxf>
    <dxf>
      <font>
        <strike/>
        <color rgb="FFFF0000"/>
      </font>
    </dxf>
    <dxf>
      <font>
        <b/>
        <i val="0"/>
        <color rgb="FF00B050"/>
      </font>
    </dxf>
    <dxf>
      <font>
        <color theme="0" tint="-0.24994659260841701"/>
      </font>
    </dxf>
    <dxf>
      <font>
        <strike/>
        <color rgb="FFFF0000"/>
      </font>
    </dxf>
    <dxf>
      <font>
        <color theme="0" tint="-0.24994659260841701"/>
      </font>
    </dxf>
    <dxf>
      <font>
        <strike/>
        <color rgb="FFFF0000"/>
      </font>
    </dxf>
    <dxf>
      <font>
        <color theme="0" tint="-0.24994659260841701"/>
      </font>
    </dxf>
    <dxf>
      <font>
        <b/>
        <i val="0"/>
        <color rgb="FF00B050"/>
      </font>
    </dxf>
    <dxf>
      <font>
        <color theme="0" tint="-0.24994659260841701"/>
      </font>
    </dxf>
    <dxf>
      <font>
        <strike/>
        <color rgb="FFFF0000"/>
      </font>
    </dxf>
    <dxf>
      <font>
        <color theme="0" tint="-0.24994659260841701"/>
      </font>
    </dxf>
    <dxf>
      <font>
        <color theme="0" tint="-0.24994659260841701"/>
      </font>
    </dxf>
    <dxf>
      <font>
        <color theme="0" tint="-0.24994659260841701"/>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color theme="0" tint="-0.24994659260841701"/>
      </font>
    </dxf>
    <dxf>
      <font>
        <b/>
        <i val="0"/>
        <color rgb="FF00B050"/>
      </font>
    </dxf>
    <dxf>
      <font>
        <b/>
        <i val="0"/>
        <color rgb="FF00B050"/>
      </font>
    </dxf>
    <dxf>
      <font>
        <color theme="0" tint="-0.24994659260841701"/>
      </font>
    </dxf>
    <dxf>
      <font>
        <strike/>
        <color rgb="FFFF000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b/>
        <i val="0"/>
        <color rgb="FF00B050"/>
      </font>
    </dxf>
    <dxf>
      <font>
        <color theme="0" tint="-0.24994659260841701"/>
      </font>
    </dxf>
    <dxf>
      <font>
        <strike/>
        <color rgb="FFFF0000"/>
      </font>
    </dxf>
    <dxf>
      <font>
        <b/>
        <i val="0"/>
        <color rgb="FF00B050"/>
      </font>
    </dxf>
    <dxf>
      <font>
        <strike/>
        <color rgb="FFFF0000"/>
      </font>
    </dxf>
    <dxf>
      <font>
        <color theme="0" tint="-0.24994659260841701"/>
      </font>
    </dxf>
    <dxf>
      <font>
        <b/>
        <i val="0"/>
        <color rgb="FF00B050"/>
      </font>
    </dxf>
    <dxf>
      <font>
        <strike/>
        <color rgb="FFFF0000"/>
      </font>
    </dxf>
    <dxf>
      <font>
        <color theme="0" tint="-0.24994659260841701"/>
      </font>
    </dxf>
    <dxf>
      <font>
        <color theme="0" tint="-0.24994659260841701"/>
      </font>
    </dxf>
    <dxf>
      <font>
        <b/>
        <i val="0"/>
        <color rgb="FF00B050"/>
      </font>
    </dxf>
    <dxf>
      <font>
        <strike/>
        <color rgb="FFFF0000"/>
      </font>
    </dxf>
    <dxf>
      <font>
        <b/>
        <i val="0"/>
        <color rgb="FF00B050"/>
      </font>
    </dxf>
    <dxf>
      <font>
        <strike/>
        <color rgb="FFFF0000"/>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b/>
        <i val="0"/>
        <color rgb="FF00B050"/>
      </font>
    </dxf>
    <dxf>
      <font>
        <b val="0"/>
        <i val="0"/>
        <strike/>
        <color rgb="FFFF0000"/>
      </font>
    </dxf>
    <dxf>
      <font>
        <b/>
        <i val="0"/>
        <color theme="9"/>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color theme="0" tint="-0.24994659260841701"/>
      </font>
    </dxf>
    <dxf>
      <font>
        <strike/>
        <color rgb="FFFF0000"/>
      </font>
    </dxf>
    <dxf>
      <font>
        <strike/>
        <color rgb="FFFF0000"/>
      </font>
    </dxf>
    <dxf>
      <font>
        <b/>
        <i val="0"/>
        <color rgb="FF00B050"/>
      </font>
    </dxf>
    <dxf>
      <font>
        <strike/>
        <color rgb="FFFF0000"/>
      </font>
    </dxf>
    <dxf>
      <font>
        <b/>
        <i val="0"/>
        <color rgb="FF00B050"/>
      </font>
    </dxf>
    <dxf>
      <font>
        <b/>
        <i val="0"/>
        <color rgb="FF00B050"/>
      </font>
    </dxf>
    <dxf>
      <font>
        <b val="0"/>
        <i val="0"/>
        <strike/>
        <color rgb="FFFF0000"/>
      </font>
    </dxf>
    <dxf>
      <font>
        <b/>
        <i val="0"/>
        <color theme="9"/>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color theme="0" tint="-0.24994659260841701"/>
      </font>
    </dxf>
    <dxf>
      <font>
        <b/>
        <i val="0"/>
        <color rgb="FF00B050"/>
      </font>
    </dxf>
    <dxf>
      <font>
        <color theme="0" tint="-0.24994659260841701"/>
      </font>
    </dxf>
    <dxf>
      <font>
        <strike/>
        <color rgb="FFFF0000"/>
      </font>
    </dxf>
    <dxf>
      <font>
        <b/>
        <i val="0"/>
        <color rgb="FF00B050"/>
      </font>
    </dxf>
    <dxf>
      <font>
        <color theme="0" tint="-0.24994659260841701"/>
      </font>
    </dxf>
    <dxf>
      <font>
        <strike/>
        <color rgb="FFFF0000"/>
      </font>
    </dxf>
    <dxf>
      <font>
        <b/>
        <i val="0"/>
        <color rgb="FF00B050"/>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b val="0"/>
        <i val="0"/>
        <strike/>
        <color rgb="FFFF0000"/>
      </font>
    </dxf>
    <dxf>
      <font>
        <b/>
        <i val="0"/>
        <color theme="9"/>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b/>
        <i val="0"/>
        <color rgb="FF00B050"/>
      </font>
    </dxf>
    <dxf>
      <font>
        <b val="0"/>
        <i val="0"/>
        <strike/>
        <color rgb="FFFF0000"/>
      </font>
    </dxf>
    <dxf>
      <font>
        <b/>
        <i val="0"/>
        <color theme="9"/>
      </font>
    </dxf>
    <dxf>
      <font>
        <b val="0"/>
        <i val="0"/>
        <strike/>
        <color rgb="FFFF0000"/>
      </font>
    </dxf>
    <dxf>
      <font>
        <b/>
        <i val="0"/>
        <color theme="9"/>
      </font>
    </dxf>
    <dxf>
      <font>
        <b/>
        <i val="0"/>
        <color rgb="FF00B050"/>
      </font>
    </dxf>
    <dxf>
      <font>
        <strike/>
        <color rgb="FFFF0000"/>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rgb="FF00B050"/>
      </font>
    </dxf>
    <dxf>
      <font>
        <strike/>
        <color rgb="FFFF0000"/>
      </font>
    </dxf>
    <dxf>
      <font>
        <b val="0"/>
        <i val="0"/>
        <strike/>
        <color rgb="FFFF0000"/>
      </font>
    </dxf>
    <dxf>
      <font>
        <b/>
        <i val="0"/>
        <color rgb="FF00B050"/>
      </font>
    </dxf>
    <dxf>
      <font>
        <b/>
        <i val="0"/>
        <color theme="9"/>
      </font>
    </dxf>
    <dxf>
      <font>
        <b/>
        <i val="0"/>
        <color theme="9"/>
      </font>
    </dxf>
    <dxf>
      <font>
        <b/>
        <i val="0"/>
        <color rgb="FF00B050"/>
      </font>
    </dxf>
    <dxf>
      <font>
        <b val="0"/>
        <i val="0"/>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rgb="FF00B050"/>
      </font>
    </dxf>
    <dxf>
      <font>
        <b val="0"/>
        <i val="0"/>
        <strike/>
        <color rgb="FFFF0000"/>
      </font>
    </dxf>
    <dxf>
      <font>
        <b/>
        <i val="0"/>
        <color theme="9"/>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val="0"/>
        <i val="0"/>
        <strike/>
        <color rgb="FFFF0000"/>
      </font>
    </dxf>
    <dxf>
      <font>
        <b/>
        <i val="0"/>
        <color rgb="FF00B050"/>
      </font>
    </dxf>
    <dxf>
      <font>
        <b/>
        <i val="0"/>
        <color theme="9"/>
      </font>
    </dxf>
    <dxf>
      <font>
        <b/>
        <i val="0"/>
        <color rgb="FF00B050"/>
      </font>
    </dxf>
    <dxf>
      <font>
        <b/>
        <i val="0"/>
        <color theme="9"/>
      </font>
    </dxf>
    <dxf>
      <font>
        <b val="0"/>
        <i val="0"/>
        <strike/>
        <color rgb="FFFF0000"/>
      </font>
    </dxf>
    <dxf>
      <font>
        <b/>
        <i val="0"/>
        <color theme="9"/>
      </font>
    </dxf>
    <dxf>
      <font>
        <b val="0"/>
        <i val="0"/>
        <strike/>
        <color rgb="FFFF0000"/>
      </font>
    </dxf>
    <dxf>
      <font>
        <b/>
        <i val="0"/>
        <color rgb="FF00B050"/>
      </font>
    </dxf>
    <dxf>
      <font>
        <b/>
        <i val="0"/>
        <color rgb="FF00B050"/>
      </font>
    </dxf>
    <dxf>
      <font>
        <b/>
        <i val="0"/>
        <color theme="9"/>
      </font>
    </dxf>
    <dxf>
      <font>
        <b val="0"/>
        <i val="0"/>
        <strike/>
        <color rgb="FFFF000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color theme="0" tint="-0.24994659260841701"/>
      </font>
    </dxf>
    <dxf>
      <font>
        <b val="0"/>
        <i val="0"/>
        <strike/>
        <color rgb="FFFF0000"/>
      </font>
    </dxf>
    <dxf>
      <font>
        <b/>
        <i val="0"/>
        <color theme="9"/>
      </font>
    </dxf>
    <dxf>
      <font>
        <b/>
        <i val="0"/>
        <color rgb="FF00B050"/>
      </font>
    </dxf>
    <dxf>
      <font>
        <b/>
        <i val="0"/>
        <color rgb="FF00B050"/>
      </font>
    </dxf>
    <dxf>
      <font>
        <b val="0"/>
        <i val="0"/>
        <strike/>
        <color rgb="FFFF0000"/>
      </font>
    </dxf>
    <dxf>
      <font>
        <b/>
        <i val="0"/>
        <color theme="9"/>
      </font>
    </dxf>
    <dxf>
      <font>
        <strike/>
        <color rgb="FFFF0000"/>
      </font>
    </dxf>
    <dxf>
      <font>
        <b/>
        <i val="0"/>
        <color rgb="FF00B050"/>
      </font>
    </dxf>
    <dxf>
      <font>
        <strike/>
        <color rgb="FFFF0000"/>
      </font>
    </dxf>
    <dxf>
      <font>
        <b/>
        <i val="0"/>
        <color rgb="FF00B050"/>
      </font>
    </dxf>
    <dxf>
      <font>
        <b/>
        <i val="0"/>
        <color theme="9"/>
      </font>
    </dxf>
    <dxf>
      <font>
        <b/>
        <i val="0"/>
        <color rgb="FF00B050"/>
      </font>
    </dxf>
    <dxf>
      <font>
        <b val="0"/>
        <i val="0"/>
        <strike/>
        <color rgb="FFFF0000"/>
      </font>
    </dxf>
    <dxf>
      <font>
        <b/>
        <i val="0"/>
        <color theme="9"/>
      </font>
    </dxf>
    <dxf>
      <font>
        <b val="0"/>
        <i val="0"/>
        <strike/>
        <color rgb="FFFF0000"/>
      </font>
    </dxf>
    <dxf>
      <font>
        <b/>
        <i val="0"/>
        <color rgb="FF00B050"/>
      </font>
    </dxf>
    <dxf>
      <font>
        <b val="0"/>
        <i val="0"/>
        <strike/>
        <color rgb="FFFF0000"/>
      </font>
    </dxf>
    <dxf>
      <font>
        <b/>
        <i val="0"/>
        <color rgb="FF00B050"/>
      </font>
    </dxf>
    <dxf>
      <font>
        <b/>
        <i val="0"/>
        <color theme="9"/>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i val="0"/>
        <color theme="9"/>
      </font>
    </dxf>
    <dxf>
      <font>
        <strike/>
        <color rgb="FFFF0000"/>
      </font>
    </dxf>
    <dxf>
      <font>
        <b/>
        <i val="0"/>
        <color rgb="FF00B050"/>
      </font>
    </dxf>
    <dxf>
      <font>
        <b val="0"/>
        <i val="0"/>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rgb="FF00B050"/>
      </font>
    </dxf>
    <dxf>
      <font>
        <strike/>
        <color rgb="FFFF0000"/>
      </font>
    </dxf>
    <dxf>
      <font>
        <b/>
        <i val="0"/>
        <color rgb="FF00B050"/>
      </font>
    </dxf>
    <dxf>
      <font>
        <strike/>
        <color rgb="FFFF0000"/>
      </font>
    </dxf>
    <dxf>
      <font>
        <b/>
        <i val="0"/>
        <color rgb="FF00B050"/>
      </font>
    </dxf>
    <dxf>
      <font>
        <b val="0"/>
        <i val="0"/>
        <strike/>
        <color rgb="FFFF0000"/>
      </font>
    </dxf>
    <dxf>
      <font>
        <b/>
        <i val="0"/>
        <color theme="9"/>
      </font>
    </dxf>
    <dxf>
      <font>
        <strike/>
        <color rgb="FFFF0000"/>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val="0"/>
        <i val="0"/>
        <strike/>
        <color rgb="FFFF0000"/>
      </font>
    </dxf>
    <dxf>
      <font>
        <b/>
        <i val="0"/>
        <color theme="9"/>
      </font>
    </dxf>
    <dxf>
      <font>
        <b/>
        <i val="0"/>
        <color rgb="FF00B050"/>
      </font>
    </dxf>
    <dxf>
      <font>
        <strike/>
        <color rgb="FFFF0000"/>
      </font>
    </dxf>
    <dxf>
      <font>
        <b/>
        <i val="0"/>
        <color rgb="FF00B050"/>
      </font>
    </dxf>
    <dxf>
      <font>
        <b val="0"/>
        <i val="0"/>
        <strike/>
        <color rgb="FFFF0000"/>
      </font>
    </dxf>
    <dxf>
      <font>
        <b/>
        <i val="0"/>
        <color theme="9"/>
      </font>
    </dxf>
    <dxf>
      <font>
        <b/>
        <i val="0"/>
        <color rgb="FF00B050"/>
      </font>
    </dxf>
    <dxf>
      <font>
        <b/>
        <i val="0"/>
        <color rgb="FF00B050"/>
      </font>
    </dxf>
    <dxf>
      <font>
        <strike/>
        <color rgb="FFFF0000"/>
      </font>
    </dxf>
    <dxf>
      <font>
        <b val="0"/>
        <i val="0"/>
        <strike/>
        <color rgb="FFFF0000"/>
      </font>
    </dxf>
    <dxf>
      <font>
        <b/>
        <i val="0"/>
        <color theme="9"/>
      </font>
    </dxf>
    <dxf>
      <font>
        <b/>
        <i val="0"/>
        <color rgb="FF00B050"/>
      </font>
    </dxf>
    <dxf>
      <font>
        <b/>
        <i val="0"/>
        <color rgb="FF00B050"/>
      </font>
    </dxf>
    <dxf>
      <font>
        <strike/>
        <color rgb="FFFF0000"/>
      </font>
    </dxf>
    <dxf>
      <font>
        <b val="0"/>
        <i val="0"/>
        <strike/>
        <color rgb="FFFF0000"/>
      </font>
    </dxf>
    <dxf>
      <font>
        <b/>
        <i val="0"/>
        <color rgb="FF00B050"/>
      </font>
    </dxf>
    <dxf>
      <font>
        <b/>
        <i val="0"/>
        <color theme="9"/>
      </font>
    </dxf>
    <dxf>
      <font>
        <b/>
        <i val="0"/>
        <color rgb="FF00B050"/>
      </font>
    </dxf>
    <dxf>
      <font>
        <strike/>
        <color rgb="FFFF000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val="0"/>
        <i val="0"/>
        <strike/>
        <color rgb="FFFF0000"/>
      </font>
    </dxf>
    <dxf>
      <font>
        <b/>
        <i val="0"/>
        <color rgb="FF00B050"/>
      </font>
    </dxf>
    <dxf>
      <font>
        <b/>
        <i val="0"/>
        <color theme="9"/>
      </font>
    </dxf>
    <dxf>
      <font>
        <b/>
        <i val="0"/>
        <color rgb="FF00B050"/>
      </font>
    </dxf>
    <dxf>
      <font>
        <strike/>
        <color rgb="FFFF0000"/>
      </font>
    </dxf>
    <dxf>
      <font>
        <b val="0"/>
        <i val="0"/>
        <strike/>
        <color rgb="FFFF0000"/>
      </font>
    </dxf>
    <dxf>
      <font>
        <b/>
        <i val="0"/>
        <color rgb="FF00B050"/>
      </font>
    </dxf>
    <dxf>
      <font>
        <b/>
        <i val="0"/>
        <color theme="9"/>
      </font>
    </dxf>
    <dxf>
      <font>
        <b/>
        <i val="0"/>
        <color rgb="FF00B050"/>
      </font>
    </dxf>
    <dxf>
      <font>
        <strike/>
        <color rgb="FFFF0000"/>
      </font>
    </dxf>
    <dxf>
      <font>
        <strike/>
        <color rgb="FFFF0000"/>
      </font>
    </dxf>
    <dxf>
      <font>
        <b/>
        <i val="0"/>
        <color rgb="FF00B050"/>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theme="9"/>
      </font>
    </dxf>
    <dxf>
      <font>
        <b val="0"/>
        <i val="0"/>
        <strike/>
        <color rgb="FFFF0000"/>
      </font>
    </dxf>
    <dxf>
      <font>
        <b/>
        <i val="0"/>
        <color rgb="FF00B050"/>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strike/>
        <color rgb="FFFF0000"/>
      </font>
    </dxf>
    <dxf>
      <font>
        <b/>
        <i val="0"/>
        <color rgb="FF00B050"/>
      </font>
    </dxf>
    <dxf>
      <font>
        <b val="0"/>
        <i val="0"/>
        <strike/>
        <color rgb="FFFF0000"/>
      </font>
    </dxf>
    <dxf>
      <font>
        <b/>
        <i val="0"/>
        <color theme="9"/>
      </font>
    </dxf>
    <dxf>
      <font>
        <b/>
        <i val="0"/>
        <color rgb="FF00B050"/>
      </font>
    </dxf>
    <dxf>
      <font>
        <b/>
        <i val="0"/>
        <color rgb="FF00B050"/>
      </font>
    </dxf>
    <dxf>
      <font>
        <strike/>
        <color rgb="FFFF0000"/>
      </font>
    </dxf>
    <dxf>
      <font>
        <b/>
        <i val="0"/>
        <color theme="9"/>
      </font>
    </dxf>
    <dxf>
      <font>
        <b/>
        <i val="0"/>
        <color rgb="FF00B050"/>
      </font>
    </dxf>
    <dxf>
      <font>
        <b val="0"/>
        <i val="0"/>
        <strike/>
        <color rgb="FFFF0000"/>
      </font>
    </dxf>
    <dxf>
      <font>
        <b/>
        <i val="0"/>
        <color rgb="FF00B050"/>
      </font>
    </dxf>
    <dxf>
      <font>
        <strike/>
        <color rgb="FFFF000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strike/>
        <color rgb="FFFF0000"/>
      </font>
    </dxf>
    <dxf>
      <font>
        <b/>
        <i val="0"/>
        <color rgb="FF00B05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b/>
        <i val="0"/>
        <color rgb="FF00B050"/>
      </font>
    </dxf>
    <dxf>
      <font>
        <strike/>
        <color rgb="FFFF0000"/>
      </font>
    </dxf>
    <dxf>
      <font>
        <b/>
        <i val="0"/>
        <color rgb="FF00B05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strike/>
        <color rgb="FFFF000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b val="0"/>
        <i val="0"/>
        <strike/>
        <color rgb="FFFF0000"/>
      </font>
    </dxf>
    <dxf>
      <font>
        <b/>
        <i val="0"/>
        <color theme="9"/>
      </font>
    </dxf>
    <dxf>
      <font>
        <b/>
        <i val="0"/>
        <color rgb="FF00B050"/>
      </font>
    </dxf>
    <dxf>
      <font>
        <b/>
        <i val="0"/>
        <color theme="9"/>
      </font>
    </dxf>
    <dxf>
      <font>
        <b val="0"/>
        <i val="0"/>
        <strike/>
        <color rgb="FFFF000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i val="0"/>
        <color theme="9"/>
      </font>
    </dxf>
    <dxf>
      <font>
        <b val="0"/>
        <i val="0"/>
        <strike/>
        <color rgb="FFFF0000"/>
      </font>
    </dxf>
    <dxf>
      <font>
        <b/>
        <i val="0"/>
        <color rgb="FF00B050"/>
      </font>
    </dxf>
    <dxf>
      <font>
        <strike/>
        <color rgb="FFFF0000"/>
      </font>
    </dxf>
    <dxf>
      <font>
        <b/>
        <i val="0"/>
        <color rgb="FF00B050"/>
      </font>
    </dxf>
    <dxf>
      <font>
        <b/>
        <i val="0"/>
        <color theme="9"/>
      </font>
    </dxf>
    <dxf>
      <font>
        <b val="0"/>
        <i val="0"/>
        <strike/>
        <color rgb="FFFF0000"/>
      </font>
    </dxf>
    <dxf>
      <font>
        <strike/>
        <color rgb="FFFF0000"/>
      </font>
    </dxf>
    <dxf>
      <font>
        <b/>
        <i val="0"/>
        <color rgb="FF00B050"/>
      </font>
    </dxf>
    <dxf>
      <font>
        <b/>
        <i val="0"/>
        <color rgb="FF00B050"/>
      </font>
    </dxf>
    <dxf>
      <font>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theme="9"/>
      </font>
    </dxf>
    <dxf>
      <font>
        <b/>
        <i val="0"/>
        <color rgb="FF00B050"/>
      </font>
    </dxf>
    <dxf>
      <font>
        <b val="0"/>
        <i val="0"/>
        <strike/>
        <color rgb="FFFF0000"/>
      </font>
    </dxf>
    <dxf>
      <font>
        <b/>
        <i val="0"/>
        <color rgb="FF00B050"/>
      </font>
    </dxf>
    <dxf>
      <font>
        <b/>
        <i val="0"/>
        <color theme="9"/>
      </font>
    </dxf>
    <dxf>
      <font>
        <b val="0"/>
        <i val="0"/>
        <strike/>
        <color rgb="FFFF0000"/>
      </font>
    </dxf>
    <dxf>
      <font>
        <b/>
        <i val="0"/>
        <color rgb="FF00B050"/>
      </font>
    </dxf>
    <dxf>
      <font>
        <b val="0"/>
        <i val="0"/>
        <strike/>
        <color rgb="FFFF0000"/>
      </font>
    </dxf>
    <dxf>
      <font>
        <b/>
        <i val="0"/>
        <color theme="9"/>
      </font>
    </dxf>
    <dxf>
      <font>
        <b/>
        <i val="0"/>
        <color theme="9"/>
      </font>
    </dxf>
    <dxf>
      <font>
        <b/>
        <i val="0"/>
        <color rgb="FF00B050"/>
      </font>
    </dxf>
    <dxf>
      <font>
        <b val="0"/>
        <i val="0"/>
        <strike/>
        <color rgb="FFFF0000"/>
      </font>
    </dxf>
    <dxf>
      <font>
        <b/>
        <i val="0"/>
        <color rgb="FF00B050"/>
      </font>
    </dxf>
    <dxf>
      <font>
        <b val="0"/>
        <i val="0"/>
        <strike/>
        <color rgb="FFFF0000"/>
      </font>
    </dxf>
    <dxf>
      <font>
        <b/>
        <i val="0"/>
        <color theme="9"/>
      </font>
    </dxf>
    <dxf>
      <font>
        <strike/>
        <color rgb="FFFF0000"/>
      </font>
    </dxf>
    <dxf>
      <font>
        <b/>
        <i val="0"/>
        <color rgb="FF00B050"/>
      </font>
    </dxf>
    <dxf>
      <font>
        <strike/>
        <color rgb="FFFF0000"/>
      </font>
    </dxf>
    <dxf>
      <font>
        <b val="0"/>
        <i val="0"/>
        <strike/>
        <color rgb="FFFF0000"/>
      </font>
    </dxf>
    <dxf>
      <font>
        <b/>
        <i val="0"/>
        <color theme="9"/>
      </font>
    </dxf>
    <dxf>
      <font>
        <b/>
        <i val="0"/>
        <color rgb="FF00B050"/>
      </font>
    </dxf>
    <dxf>
      <font>
        <b/>
        <i val="0"/>
        <color rgb="FF00B050"/>
      </font>
    </dxf>
    <dxf>
      <font>
        <b/>
        <i val="0"/>
        <color rgb="FF00B05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strike/>
        <color rgb="FFFF0000"/>
      </font>
    </dxf>
    <dxf>
      <font>
        <b/>
        <i val="0"/>
        <color theme="9"/>
      </font>
    </dxf>
    <dxf>
      <font>
        <b/>
        <i val="0"/>
        <color rgb="FF00B050"/>
      </font>
    </dxf>
    <dxf>
      <font>
        <b val="0"/>
        <i val="0"/>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b/>
        <i val="0"/>
        <color rgb="FF00B050"/>
      </font>
    </dxf>
    <dxf>
      <font>
        <strike/>
        <color rgb="FFFF0000"/>
      </font>
    </dxf>
    <dxf>
      <font>
        <strike/>
        <color rgb="FFFF0000"/>
      </font>
    </dxf>
    <dxf>
      <font>
        <b/>
        <i val="0"/>
        <color rgb="FF00B050"/>
      </font>
    </dxf>
    <dxf>
      <font>
        <strike/>
        <color rgb="FFFF0000"/>
      </font>
    </dxf>
    <dxf>
      <font>
        <b/>
        <i val="0"/>
        <color rgb="FF00B050"/>
      </font>
    </dxf>
    <dxf>
      <font>
        <strike/>
        <color rgb="FFFF0000"/>
      </font>
    </dxf>
    <dxf>
      <font>
        <b val="0"/>
        <i val="0"/>
        <strike/>
        <color rgb="FFFF0000"/>
      </font>
    </dxf>
    <dxf>
      <font>
        <b/>
        <i val="0"/>
        <color theme="9"/>
      </font>
    </dxf>
    <dxf>
      <font>
        <b/>
        <i val="0"/>
        <color rgb="FF00B050"/>
      </font>
    </dxf>
    <dxf>
      <font>
        <b val="0"/>
        <i val="0"/>
        <strike/>
        <color rgb="FFFF0000"/>
      </font>
    </dxf>
    <dxf>
      <font>
        <b/>
        <i val="0"/>
        <color theme="9"/>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i val="0"/>
        <color rgb="FF00B050"/>
      </font>
    </dxf>
    <dxf>
      <font>
        <b/>
        <i val="0"/>
        <color theme="9"/>
      </font>
    </dxf>
    <dxf>
      <font>
        <b val="0"/>
        <i val="0"/>
        <strike/>
        <color rgb="FFFF0000"/>
      </font>
    </dxf>
    <dxf>
      <font>
        <b val="0"/>
        <i val="0"/>
        <strike/>
        <color rgb="FFFF0000"/>
      </font>
    </dxf>
    <dxf>
      <font>
        <b/>
        <i val="0"/>
        <color theme="9"/>
      </font>
    </dxf>
    <dxf>
      <font>
        <b/>
        <i val="0"/>
        <color rgb="FF00B050"/>
      </font>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theme="0" tint="-0.14999847407452621"/>
        </left>
        <right/>
        <top/>
        <bottom/>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font>
      <fill>
        <patternFill patternType="none">
          <fgColor indexed="64"/>
          <bgColor auto="1"/>
        </patternFill>
      </fill>
    </dxf>
    <dxf>
      <alignment horizontal="left" vertical="center" textRotation="0" wrapText="0" indent="0" justifyLastLine="0" shrinkToFit="0" readingOrder="0"/>
    </dxf>
    <dxf>
      <font>
        <b val="0"/>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font>
      <fill>
        <patternFill patternType="none">
          <fgColor indexed="64"/>
          <bgColor auto="1"/>
        </patternFill>
      </fill>
    </dxf>
    <dxf>
      <alignment horizontal="left" vertical="center" textRotation="0" wrapText="0" indent="0" justifyLastLine="0" shrinkToFit="0" readingOrder="0"/>
    </dxf>
    <dxf>
      <font>
        <b val="0"/>
      </font>
      <fill>
        <patternFill patternType="none">
          <fgColor indexed="64"/>
          <bgColor auto="1"/>
        </patternFill>
      </fill>
    </dxf>
    <dxf>
      <font>
        <b val="0"/>
      </font>
      <fill>
        <patternFill patternType="none">
          <fgColor indexed="64"/>
          <bgColor auto="1"/>
        </patternFill>
      </fill>
    </dxf>
    <dxf>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border outline="0">
        <left style="thin">
          <color auto="1"/>
        </lef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alignment vertical="top" wrapText="1" indent="0" justifyLastLine="0" shrinkToFit="0" readingOrder="0"/>
    </dxf>
    <dxf>
      <fill>
        <patternFill patternType="solid">
          <fgColor indexed="64"/>
          <bgColor theme="0"/>
        </patternFill>
      </fill>
      <alignment horizontal="general" vertical="top" textRotation="0" wrapText="1" indent="0" justifyLastLine="0" shrinkToFit="0" readingOrder="0"/>
    </dxf>
    <dxf>
      <alignment vertical="top" wrapText="1" indent="0" justifyLastLine="0" shrinkToFit="0" readingOrder="0"/>
    </dxf>
    <dxf>
      <alignment vertical="top" wrapText="1" indent="0" justifyLastLine="0" shrinkToFit="0" readingOrder="0"/>
    </dxf>
    <dxf>
      <alignment vertical="top" wrapText="1" indent="0" justifyLastLine="0" shrinkToFit="0" readingOrder="0"/>
    </dxf>
    <dxf>
      <alignment vertical="top"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alignment vertical="top" wrapText="1" indent="0" justifyLastLine="0" shrinkToFit="0" readingOrder="0"/>
    </dxf>
    <dxf>
      <alignment vertical="top" wrapText="1" indent="0" justifyLastLine="0" shrinkToFit="0" readingOrder="0"/>
    </dxf>
    <dxf>
      <alignment vertical="top"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dxf>
    <dxf>
      <alignment vertical="top"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theme="0" tint="-0.14999847407452621"/>
        </left>
        <right style="thin">
          <color theme="0" tint="-0.14999847407452621"/>
        </right>
        <top/>
        <bottom/>
      </border>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none">
          <fgColor indexed="64"/>
          <bgColor indexed="65"/>
        </patternFill>
      </fil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border outline="0">
        <top style="thin">
          <color auto="1"/>
        </top>
      </border>
    </dxf>
    <dxf>
      <alignment vertical="top"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top" textRotation="0" wrapText="1"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theme="4"/>
        </left>
        <right style="thin">
          <color theme="4"/>
        </right>
        <top style="thin">
          <color theme="4"/>
        </top>
        <bottom style="thin">
          <color theme="4"/>
        </bottom>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theme="0" tint="-0.14999847407452621"/>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alignment horizontal="general"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left style="thin">
          <color theme="0" tint="-0.14999847407452621"/>
        </left>
        <right style="thin">
          <color theme="0" tint="-0.14999847407452621"/>
        </right>
        <top/>
        <bottom/>
        <vertical/>
        <horizontal/>
      </border>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minor"/>
      </font>
      <alignment horizontal="general" vertical="top" textRotation="0" wrapText="0" indent="0" justifyLastLine="0" shrinkToFit="0" readingOrder="0"/>
    </dxf>
    <dxf>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alignment horizontal="left" vertical="top" textRotation="0" wrapText="1"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0" tint="-0.14999847407452621"/>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top" textRotation="0" wrapText="0" indent="0" justifyLastLine="0" shrinkToFit="0" readingOrder="0"/>
      <border diagonalUp="0" diagonalDown="0">
        <left style="thin">
          <color theme="4"/>
        </left>
        <right style="thin">
          <color theme="4"/>
        </right>
        <top style="thin">
          <color theme="4"/>
        </top>
        <bottom style="thin">
          <color theme="4"/>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bottom" textRotation="0" wrapText="0" indent="0" justifyLastLine="0" shrinkToFit="0" readingOrder="0"/>
      <border diagonalUp="0" diagonalDown="0" outline="0">
        <left/>
        <right/>
        <top style="thin">
          <color auto="1"/>
        </top>
        <bottom/>
      </border>
    </dxf>
    <dxf>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left" vertical="bottom" textRotation="0" wrapText="0" indent="0" justifyLastLine="0" shrinkToFit="0" readingOrder="0"/>
      <border diagonalUp="0" diagonalDown="0" outline="0">
        <left/>
        <right/>
        <top style="thin">
          <color auto="1"/>
        </top>
        <bottom/>
      </border>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center" textRotation="0" wrapText="1" indent="0" justifyLastLine="0" shrinkToFit="0" readingOrder="0"/>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right" vertical="center" textRotation="0" wrapText="1" indent="0" justifyLastLine="0" shrinkToFit="0" readingOrder="0"/>
    </dxf>
    <dxf>
      <border outline="0">
        <left style="thin">
          <color indexed="64"/>
        </left>
        <right style="thin">
          <color indexed="64"/>
        </right>
        <top style="thin">
          <color auto="1"/>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numFmt numFmtId="165" formatCode="ddd\ yyyy\-mmm\-dd"/>
      <alignment horizontal="right"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left" vertical="center" textRotation="0" wrapText="0" indent="0" justifyLastLine="0" shrinkToFit="0" readingOrder="0"/>
      <border diagonalUp="0" diagonalDown="0" outline="0">
        <left style="thin">
          <color auto="1"/>
        </left>
        <right style="thin">
          <color auto="1"/>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medium">
          <color rgb="FF5B9BD5"/>
        </top>
        <bottom style="medium">
          <color rgb="FF9CC2E5"/>
        </bottom>
      </border>
    </dxf>
    <dxf>
      <fill>
        <patternFill patternType="none">
          <fgColor indexed="64"/>
          <bgColor auto="1"/>
        </patternFill>
      </fill>
    </dxf>
    <dxf>
      <border outline="0">
        <bottom style="medium">
          <color rgb="FF5B9BD5"/>
        </bottom>
      </border>
    </dxf>
    <dxf>
      <font>
        <b/>
        <i val="0"/>
        <strike val="0"/>
        <condense val="0"/>
        <extend val="0"/>
        <outline val="0"/>
        <shadow val="0"/>
        <u val="none"/>
        <vertAlign val="baseline"/>
        <sz val="10"/>
        <color rgb="FFFFFFFF"/>
        <name val="Calibri"/>
        <scheme val="minor"/>
      </font>
      <fill>
        <patternFill patternType="solid">
          <fgColor indexed="64"/>
          <bgColor rgb="FF5B9BD5"/>
        </patternFill>
      </fill>
      <alignment horizontal="general" vertical="center" textRotation="0" wrapText="1" indent="0" justifyLastLine="0" shrinkToFit="0" readingOrder="0"/>
    </dxf>
  </dxfs>
  <tableStyles count="0" defaultTableStyle="TableStyleMedium2" defaultPivotStyle="PivotStyleLight16"/>
  <colors>
    <mruColors>
      <color rgb="FFFFFF99"/>
      <color rgb="FF0054BB"/>
      <color rgb="FF58B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xdr:col>
      <xdr:colOff>59533</xdr:colOff>
      <xdr:row>1</xdr:row>
      <xdr:rowOff>142876</xdr:rowOff>
    </xdr:from>
    <xdr:to>
      <xdr:col>4</xdr:col>
      <xdr:colOff>1805970</xdr:colOff>
      <xdr:row>5</xdr:row>
      <xdr:rowOff>174012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2" y="904876"/>
          <a:ext cx="4000500" cy="785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22</xdr:row>
          <xdr:rowOff>99060</xdr:rowOff>
        </xdr:from>
        <xdr:to>
          <xdr:col>9</xdr:col>
          <xdr:colOff>495300</xdr:colOff>
          <xdr:row>64</xdr:row>
          <xdr:rowOff>22860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190500</xdr:colOff>
      <xdr:row>2</xdr:row>
      <xdr:rowOff>179295</xdr:rowOff>
    </xdr:from>
    <xdr:to>
      <xdr:col>3</xdr:col>
      <xdr:colOff>1844800</xdr:colOff>
      <xdr:row>18</xdr:row>
      <xdr:rowOff>150343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0500" y="717177"/>
          <a:ext cx="5341035" cy="3019048"/>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0</xdr:colOff>
          <xdr:row>90</xdr:row>
          <xdr:rowOff>106680</xdr:rowOff>
        </xdr:from>
        <xdr:to>
          <xdr:col>6</xdr:col>
          <xdr:colOff>137160</xdr:colOff>
          <xdr:row>116</xdr:row>
          <xdr:rowOff>83820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125</xdr:row>
          <xdr:rowOff>68580</xdr:rowOff>
        </xdr:from>
        <xdr:to>
          <xdr:col>6</xdr:col>
          <xdr:colOff>1676400</xdr:colOff>
          <xdr:row>153</xdr:row>
          <xdr:rowOff>45720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30480</xdr:colOff>
          <xdr:row>1</xdr:row>
          <xdr:rowOff>304800</xdr:rowOff>
        </xdr:from>
        <xdr:to>
          <xdr:col>7</xdr:col>
          <xdr:colOff>487680</xdr:colOff>
          <xdr:row>40</xdr:row>
          <xdr:rowOff>38100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8</xdr:col>
      <xdr:colOff>168089</xdr:colOff>
      <xdr:row>1</xdr:row>
      <xdr:rowOff>134470</xdr:rowOff>
    </xdr:from>
    <xdr:to>
      <xdr:col>19</xdr:col>
      <xdr:colOff>125457</xdr:colOff>
      <xdr:row>30</xdr:row>
      <xdr:rowOff>134941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1026589" y="549088"/>
          <a:ext cx="8238515" cy="5200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0000000}" name="Table16" displayName="Table16" ref="B25:G30" totalsRowShown="0" headerRowDxfId="1956" dataDxfId="1954" headerRowBorderDxfId="1955" tableBorderDxfId="1953">
  <autoFilter ref="B25:G30" xr:uid="{00000000-0009-0000-0100-000010000000}"/>
  <tableColumns count="6">
    <tableColumn id="1" xr3:uid="{00000000-0010-0000-0000-000001000000}" name="Version" dataDxfId="1952"/>
    <tableColumn id="2" xr3:uid="{00000000-0010-0000-0000-000002000000}" name="Date" dataDxfId="1951"/>
    <tableColumn id="3" xr3:uid="{00000000-0010-0000-0000-000003000000}" name="Prepared By" dataDxfId="1950"/>
    <tableColumn id="4" xr3:uid="{00000000-0010-0000-0000-000004000000}" name="Changed in this Version" dataDxfId="1949"/>
    <tableColumn id="5" xr3:uid="{00000000-0010-0000-0000-000005000000}" name="Reviewed By" dataDxfId="1948"/>
    <tableColumn id="6" xr3:uid="{00000000-0010-0000-0000-000006000000}" name="Approved By" dataDxfId="19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cisionsTasks" displayName="DecisionsTasks" ref="A4:E30" totalsRowCount="1" headerRowDxfId="1946" headerRowBorderDxfId="1945">
  <autoFilter ref="A4:E29" xr:uid="{00000000-0009-0000-0100-000001000000}"/>
  <tableColumns count="5">
    <tableColumn id="1" xr3:uid="{00000000-0010-0000-0100-000001000000}" name="#" totalsRowLabel="Totals" dataDxfId="1944"/>
    <tableColumn id="2" xr3:uid="{00000000-0010-0000-0100-000002000000}" name="Task or Decision" totalsRowFunction="count" totalsRowDxfId="1943"/>
    <tableColumn id="3" xr3:uid="{00000000-0010-0000-0100-000003000000}" name="Owner"/>
    <tableColumn id="4" xr3:uid="{00000000-0010-0000-0100-000004000000}" name="Description"/>
    <tableColumn id="5" xr3:uid="{00000000-0010-0000-0100-000005000000}" name="Date Complete" totalsRowFunction="count" dataDxfId="1942" totalsRowDxfId="1941"/>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Table10" displayName="Table10" ref="A67:I86" totalsRowShown="0" headerRowDxfId="1940" headerRowBorderDxfId="1939" tableBorderDxfId="1938">
  <autoFilter ref="A67:I86" xr:uid="{00000000-0009-0000-0100-00000A000000}"/>
  <tableColumns count="9">
    <tableColumn id="1" xr3:uid="{00000000-0010-0000-0200-000001000000}" name="Stage #" dataDxfId="1937"/>
    <tableColumn id="2" xr3:uid="{00000000-0010-0000-0200-000002000000}" name="Stage Name" dataDxfId="1936" dataCellStyle="20% - Accent1"/>
    <tableColumn id="3" xr3:uid="{00000000-0010-0000-0200-000003000000}" name="Record Status"/>
    <tableColumn id="4" xr3:uid="{00000000-0010-0000-0200-000004000000}" name="Stage Owner" dataDxfId="1935" dataCellStyle="20% - Accent1"/>
    <tableColumn id="5" xr3:uid="{00000000-0010-0000-0200-000005000000}" name="Due Date" dataDxfId="1934" dataCellStyle="20% - Accent1"/>
    <tableColumn id="6" xr3:uid="{00000000-0010-0000-0200-000006000000}" name="Workflow Buttons" dataDxfId="1933" dataCellStyle="20% - Accent1"/>
    <tableColumn id="7" xr3:uid="{00000000-0010-0000-0200-000007000000}" name="Workflow Path" dataDxfId="1932" dataCellStyle="20% - Accent1"/>
    <tableColumn id="8" xr3:uid="{00000000-0010-0000-0200-000008000000}" name="Email Template #"/>
    <tableColumn id="9" xr3:uid="{00000000-0010-0000-0200-000009000000}" name="Com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5:E10" totalsRowCount="1" headerRowDxfId="1931" dataDxfId="1929" headerRowBorderDxfId="1930">
  <autoFilter ref="A5:E9" xr:uid="{00000000-0009-0000-0100-000002000000}"/>
  <tableColumns count="5">
    <tableColumn id="1" xr3:uid="{00000000-0010-0000-0300-000001000000}" name="Days" totalsRowLabel="Total" dataDxfId="1928" totalsRowDxfId="1927" dataCellStyle="20% - Accent1"/>
    <tableColumn id="2" xr3:uid="{00000000-0010-0000-0300-000002000000}" name="Relative to Task Due Date" dataDxfId="1926" totalsRowDxfId="1925" dataCellStyle="20% - Accent1"/>
    <tableColumn id="3" xr3:uid="{00000000-0010-0000-0300-000003000000}" name="Recipient" dataDxfId="1924" totalsRowDxfId="1923" dataCellStyle="20% - Accent1"/>
    <tableColumn id="4" xr3:uid="{00000000-0010-0000-0300-000004000000}" name="Template #" totalsRowFunction="count" dataDxfId="1922" totalsRowDxfId="1921" dataCellStyle="20% - Accent1"/>
    <tableColumn id="5" xr3:uid="{00000000-0010-0000-0300-000005000000}" name="Recurrence" dataDxfId="1920" totalsRowDxfId="1919" dataCellStyle="20% - Accent1"/>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4:F19" totalsRowCount="1" headerRowDxfId="1918" dataDxfId="1916" headerRowBorderDxfId="1917" tableBorderDxfId="1915" totalsRowBorderDxfId="1914">
  <autoFilter ref="A4:F18" xr:uid="{00000000-0009-0000-0100-000004000000}"/>
  <tableColumns count="6">
    <tableColumn id="1" xr3:uid="{00000000-0010-0000-0400-000001000000}" name="#" totalsRowLabel="Total" dataDxfId="1913" totalsRowDxfId="5" dataCellStyle="40% - Accent1"/>
    <tableColumn id="2" xr3:uid="{00000000-0010-0000-0400-000002000000}" name="Email Name" totalsRowFunction="count" dataDxfId="1912" totalsRowDxfId="4"/>
    <tableColumn id="3" xr3:uid="{00000000-0010-0000-0400-000003000000}" name="Recipient(s)" dataDxfId="1911" totalsRowDxfId="3" dataCellStyle="40% - Accent1"/>
    <tableColumn id="4" xr3:uid="{00000000-0010-0000-0400-000004000000}" name="Conditional Logic / Trigger" dataDxfId="1910" totalsRowDxfId="2" dataCellStyle="40% - Accent1"/>
    <tableColumn id="5" xr3:uid="{00000000-0010-0000-0400-000005000000}" name="Notification Subject Line" dataDxfId="1909" totalsRowDxfId="1"/>
    <tableColumn id="6" xr3:uid="{00000000-0010-0000-0400-000006000000}" name="Notification Body" dataDxfId="1908" totalsRowDxfId="0" dataCellStyle="40% - Accent1"/>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5:E13" totalsRowCount="1" headerRowDxfId="1907" dataDxfId="1905" headerRowBorderDxfId="1906" dataCellStyle="20% - Accent1">
  <autoFilter ref="A5:E12" xr:uid="{00000000-0009-0000-0100-000005000000}"/>
  <tableColumns count="5">
    <tableColumn id="1" xr3:uid="{00000000-0010-0000-0500-000001000000}" name="Role Name" totalsRowLabel="Total" dataDxfId="1904" totalsRowDxfId="1903" dataCellStyle="20% - Accent1"/>
    <tableColumn id="2" xr3:uid="{00000000-0010-0000-0500-000002000000}" name="Description" dataDxfId="1902" totalsRowDxfId="1901" dataCellStyle="20% - Accent1"/>
    <tableColumn id="3" xr3:uid="{00000000-0010-0000-0500-000003000000}" name="Individual / Group" totalsRowFunction="count" dataDxfId="1900" totalsRowDxfId="1899" dataCellStyle="20% - Accent1"/>
    <tableColumn id="4" xr3:uid="{00000000-0010-0000-0500-000004000000}" name="Roll Down Location Hierarchy " dataDxfId="1898" totalsRowDxfId="1897" dataCellStyle="20% - Accent1"/>
    <tableColumn id="5" xr3:uid="{00000000-0010-0000-0500-000005000000}" name="Use" dataDxfId="1896" totalsRowDxfId="1895" dataCellStyle="20% - Accent1"/>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Table418" displayName="Table418" ref="A43:M68" totalsRowCount="1" headerRowDxfId="1894" dataDxfId="1892" headerRowBorderDxfId="1893" tableBorderDxfId="1891" totalsRowBorderDxfId="1890">
  <autoFilter ref="A43:M67" xr:uid="{00000000-0009-0000-0100-000011000000}"/>
  <tableColumns count="13">
    <tableColumn id="1" xr3:uid="{00000000-0010-0000-0600-000001000000}" name="Object Name" totalsRowLabel="Total" dataDxfId="1889" totalsRowDxfId="1888" dataCellStyle="40% - Accent1"/>
    <tableColumn id="2" xr3:uid="{00000000-0010-0000-0600-000002000000}" name="Location Bound" totalsRowFunction="count" dataDxfId="1887" totalsRowDxfId="1886"/>
    <tableColumn id="3" xr3:uid="{00000000-0010-0000-0600-000003000000}" name="Base Object" dataDxfId="1885" totalsRowDxfId="1884" dataCellStyle="40% - Accent1"/>
    <tableColumn id="4" xr3:uid="{00000000-0010-0000-0600-000004000000}" name="Parent" dataDxfId="1883" totalsRowDxfId="1882" dataCellStyle="40% - Accent1"/>
    <tableColumn id="17" xr3:uid="{00000000-0010-0000-0600-000011000000}" name="Hierarchies" dataDxfId="1881" totalsRowDxfId="1880" dataCellStyle="40% - Accent1"/>
    <tableColumn id="16" xr3:uid="{00000000-0010-0000-0600-000010000000}" name="Record Creation any Location" dataDxfId="1879" totalsRowDxfId="1878" dataCellStyle="40% - Accent1"/>
    <tableColumn id="5" xr3:uid="{00000000-0010-0000-0600-000005000000}" name="Soft Delete" dataDxfId="1877" totalsRowDxfId="1876" dataCellStyle="40% - Accent1"/>
    <tableColumn id="6" xr3:uid="{00000000-0010-0000-0600-000006000000}" name="Localizable" dataDxfId="1875" totalsRowDxfId="1874" dataCellStyle="40% - Accent1"/>
    <tableColumn id="7" xr3:uid="{00000000-0010-0000-0600-000007000000}" name="Private Doc" dataDxfId="1873" totalsRowDxfId="1872" dataCellStyle="40% - Accent1"/>
    <tableColumn id="8" xr3:uid="{00000000-0010-0000-0600-000008000000}" name="Doc Control" dataDxfId="1871" totalsRowDxfId="1870" dataCellStyle="40% - Accent1"/>
    <tableColumn id="9" xr3:uid="{00000000-0010-0000-0600-000009000000}" name="Messages" dataDxfId="1869" totalsRowDxfId="1868" dataCellStyle="40% - Accent1"/>
    <tableColumn id="10" xr3:uid="{00000000-0010-0000-0600-00000A000000}" name="Merge Template" dataDxfId="1867" totalsRowDxfId="1866" dataCellStyle="40% - Accent1"/>
    <tableColumn id="13" xr3:uid="{00000000-0010-0000-0600-00000D000000}" name="Quick Task" dataDxfId="1865" totalsRowDxfId="1864" dataCellStyle="40% - Accent1"/>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7000000}" name="Table91231" displayName="Table91231" ref="A280:M293" totalsRowShown="0" headerRowDxfId="1863" headerRowBorderDxfId="1862" tableBorderDxfId="1861">
  <autoFilter ref="A280:M293" xr:uid="{00000000-0009-0000-0100-00001E000000}"/>
  <sortState xmlns:xlrd2="http://schemas.microsoft.com/office/spreadsheetml/2017/richdata2" ref="A281:M294">
    <sortCondition ref="G281:G294"/>
  </sortState>
  <tableColumns count="13">
    <tableColumn id="1" xr3:uid="{00000000-0010-0000-0700-000001000000}" name="#" dataDxfId="1860"/>
    <tableColumn id="2" xr3:uid="{00000000-0010-0000-0700-000002000000}" name="Stage" dataDxfId="1859"/>
    <tableColumn id="3" xr3:uid="{00000000-0010-0000-0700-000003000000}" name="Object" dataDxfId="1858"/>
    <tableColumn id="12" xr3:uid="{DDF42A64-54C9-48F2-A420-8A51EDD0743E}" name="Detail Section" dataDxfId="1857"/>
    <tableColumn id="4" xr3:uid="{00000000-0010-0000-0700-000004000000}" name="Field Name (Caption)" dataDxfId="1856"/>
    <tableColumn id="13" xr3:uid="{0A517AB2-B3E7-4C92-957E-894984B673E5}" name="Caption in View" dataDxfId="1855"/>
    <tableColumn id="5" xr3:uid="{00000000-0010-0000-0700-000005000000}" name="Description" dataDxfId="1854"/>
    <tableColumn id="6" xr3:uid="{00000000-0010-0000-0700-000006000000}" name="Type" dataDxfId="1853"/>
    <tableColumn id="11" xr3:uid="{00000000-0010-0000-0700-00000B000000}" name="Tooltips/Hints/Instruction Text" dataDxfId="1852"/>
    <tableColumn id="14" xr3:uid="{990377C9-C01C-413F-8123-DD0E25E1C2A9}" name="Notes" dataDxfId="1851"/>
    <tableColumn id="10" xr3:uid="{00000000-0010-0000-0700-00000A000000}" name="Add / Remove" dataDxfId="1850"/>
    <tableColumn id="7" xr3:uid="{00000000-0010-0000-0700-000007000000}" name="Mandatory" dataDxfId="1849"/>
    <tableColumn id="8" xr3:uid="{00000000-0010-0000-0700-000008000000}" name="Read Only" dataDxfId="1848"/>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8000000}" name="Table941632" displayName="Table941632" ref="A296:K310" totalsRowShown="0" headerRowDxfId="1847" headerRowBorderDxfId="1846" tableBorderDxfId="1845">
  <autoFilter ref="A296:K310" xr:uid="{00000000-0009-0000-0100-00001F000000}"/>
  <sortState xmlns:xlrd2="http://schemas.microsoft.com/office/spreadsheetml/2017/richdata2" ref="A297:K310">
    <sortCondition ref="E298:E311"/>
  </sortState>
  <tableColumns count="11">
    <tableColumn id="1" xr3:uid="{00000000-0010-0000-0800-000001000000}" name="#" dataDxfId="1844"/>
    <tableColumn id="2" xr3:uid="{00000000-0010-0000-0800-000002000000}" name="Stage" dataDxfId="1843"/>
    <tableColumn id="3" xr3:uid="{00000000-0010-0000-0800-000003000000}" name="Object" dataDxfId="1842"/>
    <tableColumn id="4" xr3:uid="{00000000-0010-0000-0800-000004000000}" name="Detail Section" dataDxfId="1841"/>
    <tableColumn id="5" xr3:uid="{00000000-0010-0000-0800-000005000000}" name="Field Name (Caption)" dataDxfId="1840"/>
    <tableColumn id="11" xr3:uid="{00000000-0010-0000-0800-00000B000000}" name="Caption in View" dataDxfId="1839"/>
    <tableColumn id="6" xr3:uid="{00000000-0010-0000-0800-000006000000}" name="Description" dataDxfId="1838"/>
    <tableColumn id="7" xr3:uid="{00000000-0010-0000-0800-000007000000}" name="Type" dataDxfId="1837"/>
    <tableColumn id="8" xr3:uid="{00000000-0010-0000-0800-000008000000}" name="Tooltips/Hints/Instruction Text" dataDxfId="1836"/>
    <tableColumn id="9" xr3:uid="{00000000-0010-0000-0800-000009000000}" name="Notes" dataDxfId="1835"/>
    <tableColumn id="10" xr3:uid="{00000000-0010-0000-0800-00000A000000}" name="Add / Remove" dataDxfId="1834"/>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9000000}" name="Table94162333" displayName="Table94162333" ref="A313:K327" totalsRowShown="0" headerRowDxfId="1833" headerRowBorderDxfId="1832" tableBorderDxfId="1831">
  <autoFilter ref="A313:K327" xr:uid="{00000000-0009-0000-0100-000020000000}"/>
  <sortState xmlns:xlrd2="http://schemas.microsoft.com/office/spreadsheetml/2017/richdata2" ref="A314:K327">
    <sortCondition ref="E315:E328"/>
  </sortState>
  <tableColumns count="11">
    <tableColumn id="1" xr3:uid="{00000000-0010-0000-0900-000001000000}" name="#" dataDxfId="1830"/>
    <tableColumn id="2" xr3:uid="{00000000-0010-0000-0900-000002000000}" name="Stage" dataDxfId="1829"/>
    <tableColumn id="3" xr3:uid="{00000000-0010-0000-0900-000003000000}" name="Object" dataDxfId="1828"/>
    <tableColumn id="4" xr3:uid="{00000000-0010-0000-0900-000004000000}" name="Detail Section" dataDxfId="1827"/>
    <tableColumn id="5" xr3:uid="{00000000-0010-0000-0900-000005000000}" name="Field Name (Caption)" dataDxfId="1826"/>
    <tableColumn id="11" xr3:uid="{00000000-0010-0000-0900-00000B000000}" name="Caption in View" dataDxfId="1825"/>
    <tableColumn id="6" xr3:uid="{00000000-0010-0000-0900-000006000000}" name="Description" dataDxfId="1824"/>
    <tableColumn id="7" xr3:uid="{00000000-0010-0000-0900-000007000000}" name="Type" dataDxfId="1823"/>
    <tableColumn id="8" xr3:uid="{00000000-0010-0000-0900-000008000000}" name="Tooltips/Hints/Instruction Text" dataDxfId="1822"/>
    <tableColumn id="9" xr3:uid="{00000000-0010-0000-0900-000009000000}" name="Notes" dataDxfId="1821"/>
    <tableColumn id="10" xr3:uid="{00000000-0010-0000-0900-00000A000000}" name="Add / Remove" dataDxfId="1820"/>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A000000}" name="Table9416232535" displayName="Table9416232535" ref="A58:M66" totalsRowShown="0" headerRowDxfId="1819" headerRowBorderDxfId="1818" tableBorderDxfId="1817">
  <autoFilter ref="A58:M66" xr:uid="{00000000-0009-0000-0100-000022000000}"/>
  <tableColumns count="13">
    <tableColumn id="1" xr3:uid="{00000000-0010-0000-0A00-000001000000}" name="#" dataDxfId="1816"/>
    <tableColumn id="2" xr3:uid="{00000000-0010-0000-0A00-000002000000}" name="Stage" dataDxfId="1815"/>
    <tableColumn id="13" xr3:uid="{9E667EEC-108E-4067-944D-E59FC4EE8313}" name="Object" dataDxfId="1814"/>
    <tableColumn id="3" xr3:uid="{00000000-0010-0000-0A00-000003000000}" name="Detail Section" dataDxfId="1813"/>
    <tableColumn id="4" xr3:uid="{00000000-0010-0000-0A00-000004000000}" name="Field Name (Caption)" dataDxfId="1812"/>
    <tableColumn id="5" xr3:uid="{00000000-0010-0000-0A00-000005000000}" name="Caption in View" dataDxfId="1811"/>
    <tableColumn id="11" xr3:uid="{00000000-0010-0000-0A00-00000B000000}" name="Description" dataDxfId="1810"/>
    <tableColumn id="6" xr3:uid="{00000000-0010-0000-0A00-000006000000}" name="Type" dataDxfId="1809"/>
    <tableColumn id="7" xr3:uid="{00000000-0010-0000-0A00-000007000000}" name="Tooltips/Hints/Instruction Text" dataDxfId="1808"/>
    <tableColumn id="8" xr3:uid="{00000000-0010-0000-0A00-000008000000}" name="Notes" dataDxfId="1807"/>
    <tableColumn id="9" xr3:uid="{00000000-0010-0000-0A00-000009000000}" name="Add / Remove" dataDxfId="1806"/>
    <tableColumn id="12" xr3:uid="{32D3B639-9CEA-4AFF-BD66-CD14FB7CDD4B}" name="Mandatory in Create" dataDxfId="1805"/>
    <tableColumn id="10" xr3:uid="{00000000-0010-0000-0A00-00000A000000}" name="Read Only in Create" dataDxfId="1804"/>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B000000}" name="Table941623252637" displayName="Table941623252637" ref="A69:R80" totalsRowShown="0" headerRowDxfId="1803" headerRowBorderDxfId="1802" tableBorderDxfId="1801">
  <autoFilter ref="A69:R80" xr:uid="{00000000-0009-0000-0100-000024000000}"/>
  <tableColumns count="18">
    <tableColumn id="1" xr3:uid="{00000000-0010-0000-0B00-000001000000}" name="#" dataDxfId="1800"/>
    <tableColumn id="2" xr3:uid="{00000000-0010-0000-0B00-000002000000}" name="Stage" dataDxfId="1799"/>
    <tableColumn id="3" xr3:uid="{00000000-0010-0000-0B00-000003000000}" name="Object" dataDxfId="1798"/>
    <tableColumn id="4" xr3:uid="{00000000-0010-0000-0B00-000004000000}" name="Detail Section" dataDxfId="1797"/>
    <tableColumn id="5" xr3:uid="{00000000-0010-0000-0B00-000005000000}" name="Field Name (Caption)" dataDxfId="1796"/>
    <tableColumn id="11" xr3:uid="{00000000-0010-0000-0B00-00000B000000}" name="Caption in View" dataDxfId="1795"/>
    <tableColumn id="6" xr3:uid="{00000000-0010-0000-0B00-000006000000}" name="Description" dataDxfId="1794"/>
    <tableColumn id="7" xr3:uid="{00000000-0010-0000-0B00-000007000000}" name="Type" dataDxfId="1793"/>
    <tableColumn id="8" xr3:uid="{00000000-0010-0000-0B00-000008000000}" name="Tooltips/Hints/Instruction Text" dataDxfId="1792"/>
    <tableColumn id="9" xr3:uid="{00000000-0010-0000-0B00-000009000000}" name="Notes" dataDxfId="1791"/>
    <tableColumn id="10" xr3:uid="{00000000-0010-0000-0B00-00000A000000}" name="Add / Remove" dataDxfId="1790"/>
    <tableColumn id="12" xr3:uid="{18DA7BB2-102E-4568-9E7A-4B43316AB100}" name="Mobile" dataDxfId="1789"/>
    <tableColumn id="13" xr3:uid="{EB099CCF-D0D7-435E-BF65-4F82B85AB56B}" name="Mandatory in Draft" dataDxfId="1788"/>
    <tableColumn id="16" xr3:uid="{71DB8AC4-0DF8-4ED6-90E9-788A22BEB397}" name="Ready Only in Draft" dataDxfId="1787"/>
    <tableColumn id="14" xr3:uid="{796356B4-F2DB-4FF8-8199-3823A371AC1B}" name="Mandatory in In Progress" dataDxfId="1786"/>
    <tableColumn id="17" xr3:uid="{5DC7E100-8B57-4B97-B616-0168F26BF4F9}" name="Ready Only in In Progress" dataDxfId="1785"/>
    <tableColumn id="15" xr3:uid="{53A8E50B-50AA-4604-A032-AD9E4C30D8E7}" name="Mandatory in In Closed" dataDxfId="1784"/>
    <tableColumn id="18" xr3:uid="{F903723C-E6F8-4D8C-ADB7-1AC42A44BD13}" name="Ready Only in In Closed" dataDxfId="1783"/>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B5964C-3ECD-42C9-8E63-1F76BB8E90DB}" name="Table94323637354101920212223242627282930313738" displayName="Table94323637354101920212223242627282930313738" ref="A4:Z54" totalsRowShown="0" headerRowDxfId="1782" dataDxfId="1780" headerRowBorderDxfId="1781" tableBorderDxfId="1779">
  <autoFilter ref="A4:Z54" xr:uid="{1FB5964C-3ECD-42C9-8E63-1F76BB8E90DB}"/>
  <tableColumns count="26">
    <tableColumn id="1" xr3:uid="{6ED0BC59-82A8-443F-AE47-493339B6834C}" name="#" dataDxfId="1778"/>
    <tableColumn id="2" xr3:uid="{BD6F0E5A-3745-44E7-B3BB-F98922C0E388}" name="Stage" dataDxfId="1777"/>
    <tableColumn id="26" xr3:uid="{BF61DF96-E62C-4C4E-9E1E-2B855E8A3BFC}" name="Object" dataDxfId="1776"/>
    <tableColumn id="3" xr3:uid="{72A743A9-FD0B-424E-975D-C6F9F7D6E411}" name="Detail Section" dataDxfId="1775"/>
    <tableColumn id="4" xr3:uid="{A5F0819A-F745-4699-A823-2FE1BFA1CEDB}" name="Field Name (Caption)" dataDxfId="1774"/>
    <tableColumn id="5" xr3:uid="{686254DF-24B3-407F-9445-BBAC75233270}" name="Caption in View" dataDxfId="1773"/>
    <tableColumn id="11" xr3:uid="{5931D1E0-8B6E-4952-B2A4-56A83C4F6EB5}" name="Description" dataDxfId="1772"/>
    <tableColumn id="6" xr3:uid="{252B00BC-DDCC-42FC-A365-C0184F201DAB}" name="Type" dataDxfId="1771"/>
    <tableColumn id="7" xr3:uid="{FE9D7A75-43D6-48BE-B608-3EFBC9C0A2D2}" name="Tooltips/Hints/Instruction Text" dataDxfId="1770"/>
    <tableColumn id="10" xr3:uid="{819D3EC2-DFEB-4A65-A404-5D4EA6009351}" name="Notes" dataDxfId="1769"/>
    <tableColumn id="8" xr3:uid="{DFF76571-4874-4099-88B2-6881BCA7773A}" name="Add / Remove" dataDxfId="1768"/>
    <tableColumn id="20" xr3:uid="{7F297C44-E285-4DBB-97BB-98E5F663B65B}" name="Mobile" dataDxfId="1767"/>
    <tableColumn id="9" xr3:uid="{81677BB1-4013-43DC-A206-FBAE90FB9AD7}" name="Mandatory in Initiation" dataDxfId="1766"/>
    <tableColumn id="12" xr3:uid="{1259C901-80CF-46AD-942F-26360B99E592}" name="Read Only in Initiation" dataDxfId="1765"/>
    <tableColumn id="13" xr3:uid="{9177950E-7B6E-487F-8F3B-9F76BD75496E}" name="Mandatory in Evaluation, Design &amp; Analysis" dataDxfId="1764"/>
    <tableColumn id="24" xr3:uid="{F752B54B-CECC-49AF-8193-BCEDB6F79EB8}" name="Read Only in Evaluation, Design &amp; Analysis" dataDxfId="1763"/>
    <tableColumn id="23" xr3:uid="{BAF56B80-1522-4C7A-B37E-22A018B26473}" name="Mandatory in Approval" dataDxfId="1762"/>
    <tableColumn id="22" xr3:uid="{25768080-8A94-480B-AE8A-DCB704C9A848}" name="Read Only in Approval" dataDxfId="1761"/>
    <tableColumn id="21" xr3:uid="{6553085E-C03D-4822-9B8F-F33293D8B5D0}" name="Mandatory in Implementation" dataDxfId="1760"/>
    <tableColumn id="19" xr3:uid="{D53E3FC7-DDC8-4AE2-8F91-C3CC45605EE3}" name="Read Only in Implementation" dataDxfId="1759"/>
    <tableColumn id="14" xr3:uid="{4A9AFF4E-98E3-4A69-AFC7-4440D5CD60C7}" name="Mandatory in Start-Up" dataDxfId="1758"/>
    <tableColumn id="15" xr3:uid="{97CEC9F7-88D8-43D8-8702-96EBF459CBF2}" name="Read Only in Start-Up" dataDxfId="1757"/>
    <tableColumn id="16" xr3:uid="{47059DF6-2112-4F5E-AAF3-021563870564}" name="Mandatory in Follow-Up" dataDxfId="1756"/>
    <tableColumn id="17" xr3:uid="{EBC61144-82A3-421B-A388-73D40321752D}" name="Read Only in Follow-Up" dataDxfId="1755"/>
    <tableColumn id="25" xr3:uid="{B039083D-A97F-4E79-85BD-149A8C57C2B1}" name="Not used (stage removed) 1" dataDxfId="1754"/>
    <tableColumn id="18" xr3:uid="{A82754CB-4D49-41D2-95E1-19E5AC3BC1FA}" name="Not used (stage removed) 2" dataDxfId="1753"/>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7A5051-C912-4245-A033-D7D6DDB70716}" name="Table94162325263719" displayName="Table94162325263719" ref="A83:R94" totalsRowShown="0" headerRowDxfId="1752" headerRowBorderDxfId="1751" tableBorderDxfId="1750">
  <autoFilter ref="A83:R94" xr:uid="{9B7A5051-C912-4245-A033-D7D6DDB70716}"/>
  <tableColumns count="18">
    <tableColumn id="1" xr3:uid="{A9F0DB3C-5DCF-45B5-B722-EEEE5DC0C7D6}" name="#" dataDxfId="1749"/>
    <tableColumn id="2" xr3:uid="{23B1D574-AB63-4DC7-B357-A6BCCD786DC9}" name="Stage" dataDxfId="1748"/>
    <tableColumn id="3" xr3:uid="{3870AD78-21B5-4061-A0D7-C24F3FAA33D3}" name="Object" dataDxfId="1747"/>
    <tableColumn id="4" xr3:uid="{493BAB8C-1731-49FA-9C28-BEBF20407916}" name="Detail Section" dataDxfId="1746"/>
    <tableColumn id="5" xr3:uid="{D43121BB-E9D0-4C9C-8626-D5FD6371DE2D}" name="Field Name (Caption)" dataDxfId="1745"/>
    <tableColumn id="11" xr3:uid="{68ECDFB7-D2B6-47EA-9DE2-B45D4947F0DE}" name="Caption in View" dataDxfId="1744"/>
    <tableColumn id="6" xr3:uid="{153BD651-CD5E-4885-8370-B636E4425771}" name="Description" dataDxfId="1743"/>
    <tableColumn id="7" xr3:uid="{C7359F8D-51A1-42C6-87EF-5A89012FE784}" name="Type" dataDxfId="1742"/>
    <tableColumn id="8" xr3:uid="{16A60150-95ED-4E07-BACB-0AD0D92D981C}" name="Tooltips/Hints/Instruction Text" dataDxfId="1741"/>
    <tableColumn id="9" xr3:uid="{59EEC062-71D0-45AB-99A0-FCB64450375C}" name="Notes" dataDxfId="1740"/>
    <tableColumn id="10" xr3:uid="{6FFE6EE7-D8FD-4ED3-860A-6D9E4F6D824A}" name="Add / Remove" dataDxfId="1739"/>
    <tableColumn id="12" xr3:uid="{8F640AFF-9BA8-4CFC-98D5-31D25616FFA6}" name="Mobile" dataDxfId="1738"/>
    <tableColumn id="13" xr3:uid="{CD3A9FA5-3C62-496A-8B51-817F32555598}" name="Mandatory in Draft" dataDxfId="1737"/>
    <tableColumn id="16" xr3:uid="{22273249-D010-4E4C-AFD2-C6B90FE13527}" name="Ready Only in Draft" dataDxfId="1736"/>
    <tableColumn id="15" xr3:uid="{B9EBC9C2-7396-492A-9204-CAAD4910BC65}" name="Mandatory in In Progress" dataDxfId="1735"/>
    <tableColumn id="14" xr3:uid="{559700D4-6C3F-4CD0-BED6-AD4CACA36A05}" name="Read Only in In Progress" dataDxfId="1734"/>
    <tableColumn id="17" xr3:uid="{91B8750C-BFCB-415B-A05E-2795949BD0F1}" name="Mandatory in In Closed" dataDxfId="1733"/>
    <tableColumn id="18" xr3:uid="{F6ACC584-27C7-4B67-AFCF-696AF59D3C24}" name="Ready Only in In Closed" dataDxfId="1732"/>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DF9DCBD-C5E8-45B3-99DD-DD3389028FA8}" name="Table9416232526371920" displayName="Table9416232526371920" ref="A97:R109" totalsRowShown="0" headerRowDxfId="1731" headerRowBorderDxfId="1730" tableBorderDxfId="1729">
  <autoFilter ref="A97:R109" xr:uid="{FDF9DCBD-C5E8-45B3-99DD-DD3389028FA8}"/>
  <tableColumns count="18">
    <tableColumn id="1" xr3:uid="{F2C21458-56BC-43D1-95E8-779C7BA6A72B}" name="#" dataDxfId="1728"/>
    <tableColumn id="2" xr3:uid="{8CD39594-EF61-4EC3-93C5-7C99A9F58212}" name="Stage" dataDxfId="1727"/>
    <tableColumn id="3" xr3:uid="{4B91713C-25C4-468B-B7F2-94610A83B410}" name="Object" dataDxfId="1726"/>
    <tableColumn id="4" xr3:uid="{1C4AA4AB-DFDE-47ED-A770-46CC06E3279B}" name="Detail Section" dataDxfId="1725"/>
    <tableColumn id="5" xr3:uid="{2B648D7A-F972-4A1D-95CF-6987B889AA8A}" name="Field Name (Caption)" dataDxfId="1724"/>
    <tableColumn id="11" xr3:uid="{BE8ADB25-5125-438D-8D27-0BBA69B82E3E}" name="Caption in View" dataDxfId="1723"/>
    <tableColumn id="6" xr3:uid="{867103EC-F3A2-4346-BD78-7D2090B680C7}" name="Description" dataDxfId="1722"/>
    <tableColumn id="7" xr3:uid="{FE21E6FC-113B-41BD-8471-256B1AA7F047}" name="Type" dataDxfId="1721"/>
    <tableColumn id="8" xr3:uid="{641679B8-E049-4946-ADDD-EAC1AF864E56}" name="Tooltips/Hints/Instruction Text" dataDxfId="1720"/>
    <tableColumn id="9" xr3:uid="{153FC045-7C50-439B-98E6-40D23B5E978A}" name="Notes" dataDxfId="1719"/>
    <tableColumn id="10" xr3:uid="{73D478EB-9F08-4DF9-9B7A-FDDF40364D83}" name="Add / Remove" dataDxfId="1718"/>
    <tableColumn id="12" xr3:uid="{E3CFF641-C976-4E4C-A580-8000892C78CB}" name="Mobile" dataDxfId="1717"/>
    <tableColumn id="13" xr3:uid="{8F839D38-5DBD-4327-A582-EC193193BA7F}" name="Mandatory in Draft" dataDxfId="1716"/>
    <tableColumn id="16" xr3:uid="{5943EDA9-120B-4EC6-AA3A-46A78B61ADF3}" name="Ready Only in Draft" dataDxfId="1715"/>
    <tableColumn id="17" xr3:uid="{8D60C796-CFC1-46C8-B18E-9841069CD514}" name="Mandatory in In Progress" dataDxfId="1714"/>
    <tableColumn id="18" xr3:uid="{00712854-859E-485C-8827-6ED2D74F4998}" name="Read Only in In Progress" dataDxfId="1713"/>
    <tableColumn id="15" xr3:uid="{6F9F2F10-8C4E-4BC0-A8DF-411E18BAD1DA}" name="Mandatory in In Closed" dataDxfId="1712"/>
    <tableColumn id="14" xr3:uid="{B36170E0-8B2F-4AAC-947E-E37EA0A78AAB}" name="Ready Only in In Closed" dataDxfId="1711"/>
  </tableColumns>
  <tableStyleInfo name="TableStyleLight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5DF01A7-FFC7-4555-B62E-1F65ED5CD1D1}" name="Table941623252637192021" displayName="Table941623252637192021" ref="A112:R124" totalsRowShown="0" headerRowDxfId="1710" headerRowBorderDxfId="1709" tableBorderDxfId="1708">
  <autoFilter ref="A112:R124" xr:uid="{F5DF01A7-FFC7-4555-B62E-1F65ED5CD1D1}"/>
  <tableColumns count="18">
    <tableColumn id="1" xr3:uid="{5F73C665-9DF5-4367-852C-05060ED406F3}" name="#" dataDxfId="1707"/>
    <tableColumn id="2" xr3:uid="{0503838F-5924-463D-809E-04D1F073F9D8}" name="Stage" dataDxfId="1706"/>
    <tableColumn id="3" xr3:uid="{9F8E78A7-6C5E-4832-8534-904A7B954D7E}" name="Object" dataDxfId="1705"/>
    <tableColumn id="4" xr3:uid="{5FC788E4-C46A-4DC7-8D79-D8923A2F3551}" name="Detail Section" dataDxfId="1704"/>
    <tableColumn id="5" xr3:uid="{1AE87707-7B6F-46C4-A7DE-FB0D863D4DBE}" name="Field Name (Caption)" dataDxfId="1703"/>
    <tableColumn id="11" xr3:uid="{CE81F129-D163-491C-B3CA-9ED5BF179F3E}" name="Caption in View" dataDxfId="1702"/>
    <tableColumn id="6" xr3:uid="{8CF04F4A-5E9A-4240-A14B-668ADDE07D00}" name="Description" dataDxfId="1701"/>
    <tableColumn id="7" xr3:uid="{9E6C9DD7-5673-4E16-9EC3-689DF85BB2D0}" name="Type" dataDxfId="1700"/>
    <tableColumn id="8" xr3:uid="{CE802DD9-4589-4AF7-B455-D2ECEF7B55C5}" name="Tooltips/Hints/Instruction Text" dataDxfId="1699"/>
    <tableColumn id="9" xr3:uid="{D7C6272A-8C60-44BA-8838-5DECA843BE66}" name="Notes" dataDxfId="1698"/>
    <tableColumn id="10" xr3:uid="{F429B221-6736-47B0-82DD-18F19B19F8C2}" name="Add / Remove" dataDxfId="1697"/>
    <tableColumn id="12" xr3:uid="{92EBB968-E91C-4A2A-B52E-D7D66B6FE1A5}" name="Mobile" dataDxfId="1696"/>
    <tableColumn id="13" xr3:uid="{2200EC16-D474-44CF-B0D1-1F1307256449}" name="Mandatory in Draft" dataDxfId="1695"/>
    <tableColumn id="16" xr3:uid="{B06AC599-B198-4178-B825-3D7070346687}" name="Ready Only in Draft" dataDxfId="1694"/>
    <tableColumn id="15" xr3:uid="{18C74094-0ABF-4AE2-8B15-0D1ACA6CAFB6}" name="Mandatory in In Progress" dataDxfId="1693"/>
    <tableColumn id="14" xr3:uid="{B1727261-2609-4FBE-83F2-5540D187293E}" name="Read Only in In Progress" dataDxfId="1692"/>
    <tableColumn id="17" xr3:uid="{89755FAF-0438-4262-A423-A4CF13CC98AD}" name="Mandatory in In Closed" dataDxfId="1691"/>
    <tableColumn id="18" xr3:uid="{387FE5F1-3D4C-4AA6-A449-0177E1AB0284}" name="Ready Only in In Closed" dataDxfId="1690"/>
  </tableColumns>
  <tableStyleInfo name="TableStyleLight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9B879C1-002F-4A06-8DD2-40B72C53A8A1}" name="Table94162325263719202122" displayName="Table94162325263719202122" ref="A127:P138" totalsRowShown="0" headerRowDxfId="1689" headerRowBorderDxfId="1688" tableBorderDxfId="1687">
  <autoFilter ref="A127:P138" xr:uid="{19B879C1-002F-4A06-8DD2-40B72C53A8A1}"/>
  <tableColumns count="16">
    <tableColumn id="1" xr3:uid="{5932FAA0-9430-4483-BAEE-9015DB2165D3}" name="#" dataDxfId="1686"/>
    <tableColumn id="2" xr3:uid="{B2DA4E17-58AC-4ED4-BC62-C07525A9884E}" name="Stage" dataDxfId="1685"/>
    <tableColumn id="3" xr3:uid="{33EE6E40-A2DD-4C57-B55C-9AC8CABAFF0F}" name="Object" dataDxfId="1684"/>
    <tableColumn id="4" xr3:uid="{4893D86C-BAC5-461A-83FF-09D6FD4DE655}" name="Detail Section" dataDxfId="1683"/>
    <tableColumn id="5" xr3:uid="{0A264DE9-8D60-49B7-A2E7-710658AD95B0}" name="Field Name (Caption)" dataDxfId="1682"/>
    <tableColumn id="11" xr3:uid="{ABBDB7FF-097F-4808-AE68-82816D39226D}" name="Caption in View" dataDxfId="1681"/>
    <tableColumn id="6" xr3:uid="{05EBAC75-6EC1-4E88-8615-D6B5F0B11486}" name="Description" dataDxfId="1680"/>
    <tableColumn id="7" xr3:uid="{EFC748F7-2D8D-4FD3-90F9-98E7C116BEC9}" name="Type" dataDxfId="1679"/>
    <tableColumn id="8" xr3:uid="{AA907B1D-8E73-4E3B-A570-B7FA9F5E1E65}" name="Tooltips/Hints/Instruction Text" dataDxfId="1678"/>
    <tableColumn id="9" xr3:uid="{193F7739-1DF9-4096-A4BB-D7AA0DCBCDAA}" name="Notes" dataDxfId="1677"/>
    <tableColumn id="10" xr3:uid="{63BE6AC3-6F30-42B4-AAAE-0A35D81915A5}" name="Add / Remove" dataDxfId="1676"/>
    <tableColumn id="12" xr3:uid="{4BB632FA-C830-4A30-9FC1-227863527FA8}" name="Mobile" dataDxfId="1675"/>
    <tableColumn id="13" xr3:uid="{763B33FB-A598-48C6-940E-D6DAB7B3C112}" name="Mandatory in Draft" dataDxfId="1674"/>
    <tableColumn id="16" xr3:uid="{92DE2430-B6BF-440B-B74F-C41E2E9F3070}" name="Ready Only in Draft" dataDxfId="1673"/>
    <tableColumn id="15" xr3:uid="{5A631B16-17D5-4C8E-8802-51D897B3352A}" name="Mandatory in In Progress" dataDxfId="1672"/>
    <tableColumn id="14" xr3:uid="{75C8AEAB-0ED4-4B94-B843-8C4610F07A79}" name="Read Only in In Progress" dataDxfId="1671"/>
  </tableColumns>
  <tableStyleInfo name="TableStyleLight1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95A2182-42FD-4490-B6C4-27F7C8520791}" name="Table9416232526371920212234" displayName="Table9416232526371920212234" ref="A141:R152" totalsRowShown="0" headerRowDxfId="1670" headerRowBorderDxfId="1669" tableBorderDxfId="1668">
  <autoFilter ref="A141:R152" xr:uid="{795A2182-42FD-4490-B6C4-27F7C8520791}"/>
  <tableColumns count="18">
    <tableColumn id="1" xr3:uid="{82BCB9F5-E8FD-44A2-A9BF-A5DAF0D4E43C}" name="#" dataDxfId="1667"/>
    <tableColumn id="2" xr3:uid="{63EF4A67-6602-4BB4-9DE2-10E6EFB36DE5}" name="Stage" dataDxfId="1666"/>
    <tableColumn id="3" xr3:uid="{A37B6D42-8165-48A0-BFC1-B4A01B446E0C}" name="Object" dataDxfId="1665"/>
    <tableColumn id="4" xr3:uid="{47EA9766-C61A-4113-992E-F7B17A3E6674}" name="Detail Section" dataDxfId="1664"/>
    <tableColumn id="5" xr3:uid="{367692D4-97E1-4245-8D50-21A3F89D95AF}" name="Field Name (Caption)" dataDxfId="1663"/>
    <tableColumn id="11" xr3:uid="{2AA434ED-D599-4023-8998-280E4B03C809}" name="Caption in View" dataDxfId="1662"/>
    <tableColumn id="6" xr3:uid="{8A726217-93BB-4D11-B8A5-7C810BF2D93E}" name="Description" dataDxfId="1661"/>
    <tableColumn id="7" xr3:uid="{AADF86BF-9136-437A-A77C-8B6998442B4C}" name="Type" dataDxfId="1660"/>
    <tableColumn id="8" xr3:uid="{C91B492D-7A05-4141-829A-00486BCDB6D7}" name="Tooltips/Hints/Instruction Text" dataDxfId="1659"/>
    <tableColumn id="9" xr3:uid="{1BF37E50-8F28-4C94-AD7B-C720BAB5DCC8}" name="Notes" dataDxfId="1658"/>
    <tableColumn id="10" xr3:uid="{7B670B41-4396-4DA6-8DFA-57631289804B}" name="Add / Remove" dataDxfId="1657"/>
    <tableColumn id="12" xr3:uid="{B357893A-F8F4-4A8A-9759-9B7F16294A58}" name="Mobile" dataDxfId="1656"/>
    <tableColumn id="13" xr3:uid="{7ED8D925-E3E5-4CC8-9CF4-FD4A290E1E92}" name="Mandatory in Draft" dataDxfId="1655"/>
    <tableColumn id="16" xr3:uid="{8490250F-191D-42C6-B839-38734B73B75A}" name="Ready Only in Draft" dataDxfId="1654"/>
    <tableColumn id="15" xr3:uid="{008C31FF-BA6F-47FD-BDA2-54DFBE72AE9A}" name="Mandatory in In Progress" dataDxfId="1653"/>
    <tableColumn id="14" xr3:uid="{6C751EC4-3453-4B04-BF4D-B027010D6A1A}" name="Read Only in In Progress" dataDxfId="1652"/>
    <tableColumn id="17" xr3:uid="{23A9A969-5C40-4636-8FF9-BCFADDB8DA17}" name="Mandatory in In Closed" dataDxfId="1651"/>
    <tableColumn id="18" xr3:uid="{7AE76E63-73E9-4718-AB24-D10740338CE6}" name="Ready Only in In Closed" dataDxfId="1650"/>
  </tableColumns>
  <tableStyleInfo name="TableStyleLight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1454A7-AF58-4DCB-A9A9-0B462A1DE05D}" name="Table941623252637192021223436" displayName="Table941623252637192021223436" ref="A155:R166" totalsRowShown="0" headerRowDxfId="1649" headerRowBorderDxfId="1648" tableBorderDxfId="1647">
  <autoFilter ref="A155:R166" xr:uid="{FD1454A7-AF58-4DCB-A9A9-0B462A1DE05D}"/>
  <tableColumns count="18">
    <tableColumn id="1" xr3:uid="{864848E2-A6CF-4906-BB1F-6784CFDD420E}" name="#" dataDxfId="1646"/>
    <tableColumn id="2" xr3:uid="{8E161DA9-942F-44F1-A4CE-F21BB8ABA1A9}" name="Stage" dataDxfId="1645"/>
    <tableColumn id="3" xr3:uid="{48AF579A-38D1-45E1-8CB4-E1C70E25E48E}" name="Object" dataDxfId="1644"/>
    <tableColumn id="4" xr3:uid="{1F8747E2-5345-4505-A2DB-AA0F95033537}" name="Detail Section" dataDxfId="1643"/>
    <tableColumn id="5" xr3:uid="{B4784FE7-3621-4E47-B52B-8772BA2A925E}" name="Field Name (Caption)" dataDxfId="1642"/>
    <tableColumn id="11" xr3:uid="{2BF02DA2-B6E9-4A1B-81D1-829232BA356C}" name="Caption in View" dataDxfId="1641"/>
    <tableColumn id="6" xr3:uid="{C61A48EA-91A0-4A23-9306-9F1966EA193C}" name="Description" dataDxfId="1640"/>
    <tableColumn id="7" xr3:uid="{C9DF2306-637A-4EB4-A1E2-361DEE6F4CC7}" name="Type" dataDxfId="1639"/>
    <tableColumn id="8" xr3:uid="{F5E7806D-01BA-473A-91DC-2ADB89BB4338}" name="Tooltips/Hints/Instruction Text" dataDxfId="1638"/>
    <tableColumn id="9" xr3:uid="{EDEAA6E5-E095-4738-B62D-7AA081449EAE}" name="Notes" dataDxfId="1637"/>
    <tableColumn id="10" xr3:uid="{A7117C45-3519-405D-AB3C-CD98903A11BE}" name="Add / Remove" dataDxfId="1636"/>
    <tableColumn id="12" xr3:uid="{59605940-AFE8-4DFB-B39A-F43DC53599A3}" name="Mobile" dataDxfId="1635"/>
    <tableColumn id="13" xr3:uid="{18979A92-CBFE-4A58-A0E3-01D599840974}" name="Mandatory in Draft" dataDxfId="1634"/>
    <tableColumn id="16" xr3:uid="{FE2D16C6-8F5E-4E5A-BE26-A65EB66885CE}" name="Ready Only in Draft" dataDxfId="1633"/>
    <tableColumn id="15" xr3:uid="{EF4E22EC-FA49-4629-AC82-1410BD12F1E5}" name="Mandatory in In Progress" dataDxfId="1632"/>
    <tableColumn id="14" xr3:uid="{69856D03-53D1-46A2-A389-476960D07327}" name="Read Only in In Progress" dataDxfId="1631"/>
    <tableColumn id="17" xr3:uid="{00CC7041-898E-47CD-9DED-98F7D551D377}" name="Mandatory in In Closed" dataDxfId="1630"/>
    <tableColumn id="18" xr3:uid="{8A2997A7-B34A-4BE2-B89F-427566BF840C}" name="Ready Only in In Closed" dataDxfId="1629"/>
  </tableColumns>
  <tableStyleInfo name="TableStyleLight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50B25C9-8C87-44EF-9C12-2B0A4B57E566}" name="Table94162325263719202122343638" displayName="Table94162325263719202122343638" ref="A169:R184" totalsRowShown="0" headerRowDxfId="1628" headerRowBorderDxfId="1627" tableBorderDxfId="1626">
  <autoFilter ref="A169:R184" xr:uid="{050B25C9-8C87-44EF-9C12-2B0A4B57E566}"/>
  <tableColumns count="18">
    <tableColumn id="1" xr3:uid="{6FBD6D2B-1658-4311-8573-47B7D9F30D1B}" name="#" dataDxfId="1625"/>
    <tableColumn id="2" xr3:uid="{4E5EC0A4-72B8-406B-8EB3-5CDAA0A6D0C9}" name="Stage" dataDxfId="1624"/>
    <tableColumn id="3" xr3:uid="{D4D15CAC-72CC-448E-9A2C-FEFCBC4B2DB5}" name="Object" dataDxfId="1623"/>
    <tableColumn id="4" xr3:uid="{5FA6F8F6-9D14-4538-A6A6-42DEB8457A41}" name="Detail Section" dataDxfId="1622"/>
    <tableColumn id="5" xr3:uid="{FC9E91E2-72F4-4405-A7C9-832D8E89D8F4}" name="Field Name (Caption)" dataDxfId="1621"/>
    <tableColumn id="11" xr3:uid="{BFF8B8A4-0D5B-41EC-B796-BF1F5097ED39}" name="Caption in View" dataDxfId="1620"/>
    <tableColumn id="6" xr3:uid="{967DFF45-CB76-4F1B-9752-BD3AE2F236E1}" name="Description" dataDxfId="1619"/>
    <tableColumn id="7" xr3:uid="{04DD02D7-B1EC-46C1-93AB-932172A71AA5}" name="Type" dataDxfId="1618"/>
    <tableColumn id="8" xr3:uid="{97FCC67D-EF74-44B3-B612-823E5EC05E0E}" name="Tooltips/Hints/Instruction Text" dataDxfId="1617"/>
    <tableColumn id="9" xr3:uid="{81F21DC2-13BE-4FCD-A86C-A580FCC7156F}" name="Notes" dataDxfId="1616"/>
    <tableColumn id="10" xr3:uid="{12040B11-EF3D-476B-9D75-C5E87AC1D9EB}" name="Add / Remove" dataDxfId="1615"/>
    <tableColumn id="12" xr3:uid="{AD901F2A-4CD2-4426-87D7-2A422F5155CE}" name="Mobile" dataDxfId="1614"/>
    <tableColumn id="13" xr3:uid="{64CFFC29-0D01-4721-B153-A1813151248D}" name="Mandatory in Draft" dataDxfId="1613"/>
    <tableColumn id="16" xr3:uid="{A9324F90-0F01-4843-9F74-4ECA48CD4985}" name="Ready Only in Draft" dataDxfId="1612"/>
    <tableColumn id="15" xr3:uid="{7C48FA8B-C5A4-4AD6-AB52-EBE33D60EB57}" name="Mandatory in In Progress" dataDxfId="1611"/>
    <tableColumn id="14" xr3:uid="{F8DCE400-E278-4383-946B-57DC13FEA1DB}" name="Read Only in In Progress" dataDxfId="1610"/>
    <tableColumn id="17" xr3:uid="{AA4980BB-0A64-431B-B7CD-E40571456F45}" name="Mandatory in In Closed" dataDxfId="1609"/>
    <tableColumn id="18" xr3:uid="{FE0799AF-9039-49D9-BCCD-A257FB746755}" name="Ready Only in In Closed" dataDxfId="1608"/>
  </tableColumns>
  <tableStyleInfo name="TableStyleLight1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4AC40CC-07ED-445C-AE73-1D8FBD5E2110}" name="Table9416232526371920212234363839" displayName="Table9416232526371920212234363839" ref="A187:R202" totalsRowShown="0" headerRowDxfId="1607" headerRowBorderDxfId="1606" tableBorderDxfId="1605">
  <autoFilter ref="A187:R202" xr:uid="{44AC40CC-07ED-445C-AE73-1D8FBD5E2110}"/>
  <tableColumns count="18">
    <tableColumn id="1" xr3:uid="{2C24A8A7-3DDE-4995-B35A-B1B3BA8B9F8B}" name="#" dataDxfId="1604"/>
    <tableColumn id="2" xr3:uid="{F13B7E2F-B4BD-465D-8CF3-F86FE85290FE}" name="Stage" dataDxfId="1603"/>
    <tableColumn id="3" xr3:uid="{EB543B2B-6081-4A80-9201-D740A80DD9C2}" name="Object" dataDxfId="1602"/>
    <tableColumn id="4" xr3:uid="{A9D6BFA9-49E8-4DA7-8661-39DDA1952815}" name="Detail Section" dataDxfId="1601"/>
    <tableColumn id="5" xr3:uid="{48E64A8C-B508-4AEA-A5A3-12EF531705F5}" name="Field Name (Caption)" dataDxfId="1600"/>
    <tableColumn id="11" xr3:uid="{0C58ABEE-8794-45E0-A6C7-E4DABA5FB72D}" name="Caption in View" dataDxfId="1599"/>
    <tableColumn id="6" xr3:uid="{86A31837-9810-4852-BBE1-5B0836191A19}" name="Description" dataDxfId="1598"/>
    <tableColumn id="7" xr3:uid="{EA06480D-7DD1-45B1-9F65-72153246DC58}" name="Type" dataDxfId="1597"/>
    <tableColumn id="8" xr3:uid="{9666F84D-549E-470C-B4AD-79D9C17EBADA}" name="Tooltips/Hints/Instruction Text" dataDxfId="1596"/>
    <tableColumn id="9" xr3:uid="{E838F1FF-8966-4B5A-B82E-30800F2407B7}" name="Notes" dataDxfId="1595"/>
    <tableColumn id="10" xr3:uid="{73FEE6BD-9F42-4A32-B006-27CE3AB42AB2}" name="Add / Remove" dataDxfId="1594"/>
    <tableColumn id="12" xr3:uid="{7863611D-1B72-42AF-85DF-B5CDAAED6162}" name="Mobile" dataDxfId="1593"/>
    <tableColumn id="13" xr3:uid="{44D8F182-3611-42D7-BBEA-FD5CDCDDE211}" name="Mandatory in Draft" dataDxfId="1592"/>
    <tableColumn id="16" xr3:uid="{129955D2-E383-4FDA-88B7-5683A9906D42}" name="Ready Only in Draft" dataDxfId="1591"/>
    <tableColumn id="15" xr3:uid="{7F357E78-4CA8-471E-B883-E1873C2B2E0B}" name="Mandatory in In Progress" dataDxfId="1590"/>
    <tableColumn id="14" xr3:uid="{FB7017E6-5FD4-4B51-89A0-A40660899171}" name="Read Only in In Progress" dataDxfId="1589"/>
    <tableColumn id="17" xr3:uid="{8333C5CA-DF4C-40B1-88DD-09DDD58A8CDC}" name="Mandatory in In Closed" dataDxfId="1588"/>
    <tableColumn id="18" xr3:uid="{D3B22B12-7F9D-4FD9-B7A7-4552D1CCE862}" name="Ready Only in In Closed" dataDxfId="1587"/>
  </tableColumns>
  <tableStyleInfo name="TableStyleLight1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8DF4FD6-97FA-4375-94BA-A5F6B2E30481}" name="Table941623252637192021223436383940" displayName="Table941623252637192021223436383940" ref="A205:R220" totalsRowShown="0" headerRowDxfId="1586" headerRowBorderDxfId="1585" tableBorderDxfId="1584">
  <autoFilter ref="A205:R220" xr:uid="{C8DF4FD6-97FA-4375-94BA-A5F6B2E30481}"/>
  <tableColumns count="18">
    <tableColumn id="1" xr3:uid="{4E35A75B-96B4-4E11-B806-5AABEB0FD274}" name="#" dataDxfId="1583"/>
    <tableColumn id="2" xr3:uid="{5F8A3CFB-73AE-482E-B886-408FAFEB600C}" name="Stage" dataDxfId="1582"/>
    <tableColumn id="3" xr3:uid="{F74F4792-F756-4FA0-8DB8-AC7FF9BD86BC}" name="Object" dataDxfId="1581"/>
    <tableColumn id="4" xr3:uid="{5896FD28-8EBC-4CC0-8D94-360D37A1242F}" name="Detail Section" dataDxfId="1580"/>
    <tableColumn id="5" xr3:uid="{DB41E1EB-0A85-4CE0-8A26-FF6B85A3B2B0}" name="Field Name (Caption)" dataDxfId="1579"/>
    <tableColumn id="11" xr3:uid="{38B279AA-D6FC-4469-8039-119BFAE3375A}" name="Caption in View" dataDxfId="1578"/>
    <tableColumn id="6" xr3:uid="{187722D1-B306-437D-A39C-59EA58341D62}" name="Description" dataDxfId="1577"/>
    <tableColumn id="7" xr3:uid="{76B819C3-9492-466F-B578-993CD44202C1}" name="Type" dataDxfId="1576"/>
    <tableColumn id="8" xr3:uid="{089C982E-D039-4E3A-A2BD-898C34943A3B}" name="Tooltips/Hints/Instruction Text" dataDxfId="1575"/>
    <tableColumn id="9" xr3:uid="{15C56859-10A7-4E8C-AD8E-AAED94A5374F}" name="Notes" dataDxfId="1574"/>
    <tableColumn id="10" xr3:uid="{1B11E193-6681-4D87-9933-45377B516F12}" name="Add / Remove" dataDxfId="1573"/>
    <tableColumn id="12" xr3:uid="{608B4511-7A5B-41ED-8330-8696B9284C4F}" name="Mobile" dataDxfId="1572"/>
    <tableColumn id="13" xr3:uid="{55DEBE09-66EF-44C4-BE38-AF5FD1BE553B}" name="Mandatory in Draft" dataDxfId="1571"/>
    <tableColumn id="16" xr3:uid="{1DBBA283-E524-44AC-8D6C-FE82D886721E}" name="Ready Only in Draft" dataDxfId="1570"/>
    <tableColumn id="15" xr3:uid="{D17E7C80-7C24-44DC-AE71-71FB03ACFD29}" name="Mandatory in In Progress" dataDxfId="1569"/>
    <tableColumn id="14" xr3:uid="{40802876-9C3B-4D42-BAFE-BFA8FC73622F}" name="Read Only in In Progress" dataDxfId="1568"/>
    <tableColumn id="17" xr3:uid="{A940A861-BCDF-4F87-95AF-8FE21F7C3BF4}" name="Mandatory in In Closed" dataDxfId="1567"/>
    <tableColumn id="18" xr3:uid="{5C82A983-55A6-4003-8934-D8E568EB91AE}" name="Ready Only in In Closed" dataDxfId="1566"/>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5A5D868-D824-4A57-A7D2-C2BDD0A068D2}" name="Table94162325263719202122343638394041" displayName="Table94162325263719202122343638394041" ref="A223:R238" totalsRowShown="0" headerRowDxfId="1565" headerRowBorderDxfId="1564" tableBorderDxfId="1563">
  <autoFilter ref="A223:R238" xr:uid="{35A5D868-D824-4A57-A7D2-C2BDD0A068D2}"/>
  <tableColumns count="18">
    <tableColumn id="1" xr3:uid="{AEDE98AD-DB6E-48A4-BCFF-F31408C23B24}" name="#" dataDxfId="1562"/>
    <tableColumn id="2" xr3:uid="{28B09573-F771-492F-96E4-B3167CEBA9EE}" name="Stage" dataDxfId="1561"/>
    <tableColumn id="3" xr3:uid="{6B11295D-AFED-4D31-A169-A74AD2ECFBBA}" name="Object" dataDxfId="1560"/>
    <tableColumn id="4" xr3:uid="{EEBF4841-98B4-4623-BA67-41DC0F6E80A0}" name="Detail Section" dataDxfId="1559"/>
    <tableColumn id="5" xr3:uid="{3D58ED53-C46F-4F2B-B936-EF0602B06BEF}" name="Field Name (Caption)" dataDxfId="1558"/>
    <tableColumn id="11" xr3:uid="{5761295D-8D98-474F-B791-A6DD4945157C}" name="Caption in View" dataDxfId="1557"/>
    <tableColumn id="6" xr3:uid="{CF44EE28-2D15-452A-88C5-C12D0EC09A2C}" name="Description" dataDxfId="1556"/>
    <tableColumn id="7" xr3:uid="{82E4B2B9-0508-4150-BD95-5F8601A08A39}" name="Type" dataDxfId="1555"/>
    <tableColumn id="8" xr3:uid="{ABB10C21-E00A-49E7-A6F1-8BA90BD72967}" name="Tooltips/Hints/Instruction Text" dataDxfId="1554"/>
    <tableColumn id="9" xr3:uid="{4D67F420-1AB0-46C4-A474-D937317A1D07}" name="Notes" dataDxfId="1553"/>
    <tableColumn id="10" xr3:uid="{246A789A-6D21-4FE3-A697-E78535D91353}" name="Add / Remove" dataDxfId="1552"/>
    <tableColumn id="12" xr3:uid="{2880F4F2-4BEE-4DA1-BD15-1852673E7CFB}" name="Mobile" dataDxfId="1551"/>
    <tableColumn id="13" xr3:uid="{3C15B268-504E-4494-8A8F-98C427E8A2D7}" name="Mandatory in Draft" dataDxfId="1550"/>
    <tableColumn id="16" xr3:uid="{E5E133B5-E77F-4926-BF83-24E61D1B6D22}" name="Ready Only in Draft" dataDxfId="1549"/>
    <tableColumn id="15" xr3:uid="{8DD05D5E-1785-44AF-9935-103A201864EA}" name="Mandatory in In Progress" dataDxfId="1548"/>
    <tableColumn id="14" xr3:uid="{60D94BE7-477D-48FA-8AFD-4387D025CB2F}" name="Read Only in In Progress" dataDxfId="1547"/>
    <tableColumn id="17" xr3:uid="{1E3C4AA9-0F77-49E2-8706-71826E090E01}" name="Mandatory in In Closed" dataDxfId="1546"/>
    <tableColumn id="18" xr3:uid="{F0596CF9-17F2-4618-BAFA-39D1CD46A6A3}" name="Ready Only in In Closed" dataDxfId="1545"/>
  </tableColumns>
  <tableStyleInfo name="TableStyleLight16"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1A46263-EE29-4BC7-8989-26ADB38CA14D}" name="Table9416232526371920212234363839404142" displayName="Table9416232526371920212234363839404142" ref="A241:R256" totalsRowShown="0" headerRowDxfId="1544" headerRowBorderDxfId="1543" tableBorderDxfId="1542">
  <autoFilter ref="A241:R256" xr:uid="{A1A46263-EE29-4BC7-8989-26ADB38CA14D}"/>
  <tableColumns count="18">
    <tableColumn id="1" xr3:uid="{F3A2AB58-354C-4B08-98E7-65AFEBB4F0D4}" name="#" dataDxfId="1541"/>
    <tableColumn id="2" xr3:uid="{DA761114-BA55-4CC6-AA76-6896A67E08A1}" name="Stage" dataDxfId="1540"/>
    <tableColumn id="3" xr3:uid="{030AD726-D9A3-430A-89A0-F52060AD418F}" name="Object" dataDxfId="1539"/>
    <tableColumn id="4" xr3:uid="{F1EF479B-D25D-4267-979A-6DF7517E1408}" name="Detail Section" dataDxfId="1538"/>
    <tableColumn id="5" xr3:uid="{76F90E7D-60C6-4A8A-858D-45AA722AE144}" name="Field Name (Caption)" dataDxfId="1537"/>
    <tableColumn id="11" xr3:uid="{55ADDB45-1EEF-4502-8722-9FE470EA3681}" name="Caption in View" dataDxfId="1536"/>
    <tableColumn id="6" xr3:uid="{98A594A1-1073-4A73-A78D-2652EA78C507}" name="Description" dataDxfId="1535"/>
    <tableColumn id="7" xr3:uid="{6BF3C2DD-DE4C-4517-B611-5E8FDBF595C5}" name="Type" dataDxfId="1534"/>
    <tableColumn id="8" xr3:uid="{3A104430-BE83-4E70-9171-C9827EBABE57}" name="Tooltips/Hints/Instruction Text" dataDxfId="1533"/>
    <tableColumn id="9" xr3:uid="{81874E0C-D100-49DF-AF86-50168F06ECF8}" name="Notes" dataDxfId="1532"/>
    <tableColumn id="10" xr3:uid="{5A496F9E-B933-4E35-858E-90664A73D808}" name="Add / Remove" dataDxfId="1531"/>
    <tableColumn id="12" xr3:uid="{80043D2A-C602-4EC1-A91F-29559C82EC2C}" name="Mobile" dataDxfId="1530"/>
    <tableColumn id="13" xr3:uid="{3335052B-B2E5-4F0B-A7AE-9A0424E34A1C}" name="Mandatory in Draft" dataDxfId="1529"/>
    <tableColumn id="16" xr3:uid="{031ECD11-FD22-4F68-96CC-CC63249CB94B}" name="Ready Only in Draft" dataDxfId="1528"/>
    <tableColumn id="15" xr3:uid="{5B435CD9-B8FD-4F35-98F3-5A4BD6D74452}" name="Mandatory in In Progress" dataDxfId="1527"/>
    <tableColumn id="14" xr3:uid="{BDB2A661-6C7F-4475-B628-F3DF67AF3736}" name="Read Only in In Progress" dataDxfId="1526"/>
    <tableColumn id="17" xr3:uid="{1FF90B3C-EE76-449A-91F9-597ADD291852}" name="Mandatory in In Closed" dataDxfId="1525"/>
    <tableColumn id="18" xr3:uid="{D6D62B4D-4866-4BC1-8364-33F849FF4290}" name="Ready Only in In Closed" dataDxfId="1524"/>
  </tableColumns>
  <tableStyleInfo name="TableStyleLight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E2A1262-C488-49E2-899F-487418441CA4}" name="Table941623252637192021223436383940414243" displayName="Table941623252637192021223436383940414243" ref="A259:R274" totalsRowShown="0" headerRowDxfId="1523" headerRowBorderDxfId="1522" tableBorderDxfId="1521">
  <autoFilter ref="A259:R274" xr:uid="{9E2A1262-C488-49E2-899F-487418441CA4}"/>
  <tableColumns count="18">
    <tableColumn id="1" xr3:uid="{CDCB429B-ADD7-4255-88CA-1FB30DBD1265}" name="#" dataDxfId="1520"/>
    <tableColumn id="2" xr3:uid="{93A84626-2470-49D4-A9D4-436C69E7F343}" name="Stage" dataDxfId="1519"/>
    <tableColumn id="3" xr3:uid="{A1BF6DB0-6DFA-4AC8-8B72-75FB833657EF}" name="Object" dataDxfId="1518"/>
    <tableColumn id="4" xr3:uid="{E052D029-05C0-4990-A99D-57AF3E77A96B}" name="Detail Section" dataDxfId="1517"/>
    <tableColumn id="5" xr3:uid="{A81FEC84-E80A-4DEB-999C-641D7708320E}" name="Field Name (Caption)" dataDxfId="1516"/>
    <tableColumn id="11" xr3:uid="{7F5B2061-957D-4255-A389-E25F523990E4}" name="Caption in View" dataDxfId="1515"/>
    <tableColumn id="6" xr3:uid="{44A6DF41-98EE-4FFF-925B-E3CF6133B7B5}" name="Description" dataDxfId="1514"/>
    <tableColumn id="7" xr3:uid="{1320BF12-6898-401D-91CB-C4B3B1AF32D2}" name="Type" dataDxfId="1513"/>
    <tableColumn id="8" xr3:uid="{0B07DB8C-3B57-49B0-81D0-F355B1A9FF82}" name="Tooltips/Hints/Instruction Text" dataDxfId="1512"/>
    <tableColumn id="9" xr3:uid="{58ED7955-8CA4-4ACD-9098-4746E3DBB1A0}" name="Notes" dataDxfId="1511"/>
    <tableColumn id="10" xr3:uid="{4B2D548A-33E3-4B18-86EE-73BC3E47E2E6}" name="Add / Remove" dataDxfId="1510"/>
    <tableColumn id="12" xr3:uid="{58BA6A10-8A6A-4BDF-88D6-20E6A2EACE10}" name="Mobile" dataDxfId="1509"/>
    <tableColumn id="13" xr3:uid="{3EB226AB-3255-4727-9CA8-AF5ACE585B88}" name="Mandatory in Draft" dataDxfId="1508"/>
    <tableColumn id="16" xr3:uid="{09DFE894-2C8B-4A7A-AD05-B4BF5C53CD25}" name="Ready Only in Draft" dataDxfId="1507"/>
    <tableColumn id="15" xr3:uid="{03C6266C-63A3-4F48-ADE0-21587D34B76D}" name="Mandatory in In Progress" dataDxfId="1506"/>
    <tableColumn id="14" xr3:uid="{E798F5A5-7CC3-423E-BDD6-561FD4DC0BC4}" name="Read Only in In Progress" dataDxfId="1505"/>
    <tableColumn id="17" xr3:uid="{C28102F3-069D-457B-9255-0CC6EFB844F7}" name="Mandatory in In Closed" dataDxfId="1504"/>
    <tableColumn id="18" xr3:uid="{0D1BC78D-B447-4533-B3CD-4140771D82DB}" name="Ready Only in In Closed" dataDxfId="1503"/>
  </tableColumns>
  <tableStyleInfo name="TableStyleLight1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D000000}" name="Table12" displayName="Table12" ref="A5:B8" totalsRowShown="0" headerRowDxfId="1502" headerRowBorderDxfId="1501" tableBorderDxfId="1500">
  <autoFilter ref="A5:B8" xr:uid="{00000000-0009-0000-0100-00000C000000}"/>
  <tableColumns count="2">
    <tableColumn id="1" xr3:uid="{00000000-0010-0000-0D00-000001000000}" name="Value"/>
    <tableColumn id="2" xr3:uid="{00000000-0010-0000-0D00-000002000000}" name="Caption"/>
  </tableColumns>
  <tableStyleInfo name="TableStyleLight16"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E000000}" name="Table13" displayName="Table13" ref="A12:B18" totalsRowShown="0" headerRowDxfId="1499" headerRowBorderDxfId="1498" tableBorderDxfId="1497">
  <autoFilter ref="A12:B18" xr:uid="{00000000-0009-0000-0100-00000D000000}"/>
  <tableColumns count="2">
    <tableColumn id="1" xr3:uid="{00000000-0010-0000-0E00-000001000000}" name="Value"/>
    <tableColumn id="2" xr3:uid="{00000000-0010-0000-0E00-000002000000}" name="Caption"/>
  </tableColumns>
  <tableStyleInfo name="TableStyleLight1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F000000}" name="Table14" displayName="Table14" ref="A21:B28" totalsRowShown="0" headerRowDxfId="1496" headerRowBorderDxfId="1495" tableBorderDxfId="1494">
  <autoFilter ref="A21:B28" xr:uid="{00000000-0009-0000-0100-00000E000000}"/>
  <tableColumns count="2">
    <tableColumn id="1" xr3:uid="{00000000-0010-0000-0F00-000001000000}" name="Value"/>
    <tableColumn id="2" xr3:uid="{00000000-0010-0000-0F00-000002000000}" name="Caption"/>
  </tableColumns>
  <tableStyleInfo name="TableStyleLight1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0000000}" name="Table12193528" displayName="Table12193528" ref="A31:B34" totalsRowShown="0" headerRowDxfId="1493" headerRowBorderDxfId="1492" tableBorderDxfId="1491">
  <autoFilter ref="A31:B34" xr:uid="{00000000-0009-0000-0100-00001B000000}"/>
  <tableColumns count="2">
    <tableColumn id="1" xr3:uid="{00000000-0010-0000-1000-000001000000}" name="Value"/>
    <tableColumn id="2" xr3:uid="{00000000-0010-0000-1000-000002000000}" name="Caption"/>
  </tableColumns>
  <tableStyleInfo name="TableStyleLight1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1000000}" name="Table1219352829" displayName="Table1219352829" ref="A37:B40" totalsRowShown="0" headerRowDxfId="1490" headerRowBorderDxfId="1489" tableBorderDxfId="1488">
  <autoFilter ref="A37:B40" xr:uid="{00000000-0009-0000-0100-00001C000000}"/>
  <tableColumns count="2">
    <tableColumn id="1" xr3:uid="{00000000-0010-0000-1100-000001000000}" name="Value"/>
    <tableColumn id="2" xr3:uid="{00000000-0010-0000-1100-000002000000}" name="Caption"/>
  </tableColumns>
  <tableStyleInfo name="TableStyleLight1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2000000}" name="Table1330" displayName="Table1330" ref="A43:B50" totalsRowShown="0" headerRowDxfId="1487" headerRowBorderDxfId="1486" tableBorderDxfId="1485">
  <autoFilter ref="A43:B50" xr:uid="{00000000-0009-0000-0100-00001D000000}"/>
  <tableColumns count="2">
    <tableColumn id="1" xr3:uid="{00000000-0010-0000-1200-000001000000}" name="Value"/>
    <tableColumn id="2" xr3:uid="{00000000-0010-0000-1200-000002000000}" name="Caption"/>
  </tableColumns>
  <tableStyleInfo name="TableStyleLight1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31E065-733D-4ECD-B72A-3D752F45F78E}" name="Table13304" displayName="Table13304" ref="A53:B59" totalsRowShown="0" headerRowDxfId="1484" headerRowBorderDxfId="1483" tableBorderDxfId="1482">
  <autoFilter ref="A53:B59" xr:uid="{ED31E065-733D-4ECD-B72A-3D752F45F78E}"/>
  <tableColumns count="2">
    <tableColumn id="1" xr3:uid="{CEBCF33B-0F4B-46E3-83A5-0E3F4F8D7200}" name="Value"/>
    <tableColumn id="2" xr3:uid="{BCA6544A-21B6-4ED2-B579-615932FDE353}" name="Caption"/>
  </tableColumns>
  <tableStyleInfo name="TableStyleLight16"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13000000}" name="Table6" displayName="Table6" ref="A4:F23" totalsRowCount="1" headerRowDxfId="1481" dataDxfId="1479" headerRowBorderDxfId="1480" dataCellStyle="20% - Accent1">
  <autoFilter ref="A4:F22" xr:uid="{00000000-0009-0000-0100-000006000000}"/>
  <tableColumns count="6">
    <tableColumn id="1" xr3:uid="{00000000-0010-0000-1300-000001000000}" name="#" totalsRowLabel="Total" dataDxfId="1478" totalsRowDxfId="1477" dataCellStyle="20% - Accent1"/>
    <tableColumn id="2" xr3:uid="{00000000-0010-0000-1300-000002000000}" name="Object Name" dataDxfId="1476" totalsRowDxfId="1475" dataCellStyle="20% - Accent1"/>
    <tableColumn id="3" xr3:uid="{00000000-0010-0000-1300-000003000000}" name="Action Handler Name" totalsRowFunction="count" dataDxfId="1474" totalsRowDxfId="1473" dataCellStyle="20% - Accent1"/>
    <tableColumn id="4" xr3:uid="{00000000-0010-0000-1300-000004000000}" name="Description" dataDxfId="1472" totalsRowDxfId="1471" dataCellStyle="20% - Accent1"/>
    <tableColumn id="5" xr3:uid="{00000000-0010-0000-1300-000005000000}" name="Action Trigger" dataDxfId="1470" totalsRowDxfId="1469" dataCellStyle="20% - Accent1"/>
    <tableColumn id="6" xr3:uid="{00000000-0010-0000-1300-000006000000}" name="Condition Logic" dataDxfId="1468" totalsRowDxfId="1467" dataCellStyle="20% - Accent1"/>
  </tableColumns>
  <tableStyleInfo name="TableStyleLight1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4000000}" name="Table7" displayName="Table7" ref="A4:M15" totalsRowCount="1" headerRowDxfId="1466" headerRowBorderDxfId="1465" tableBorderDxfId="1464">
  <autoFilter ref="A4:M14" xr:uid="{00000000-0009-0000-0100-000007000000}"/>
  <tableColumns count="13">
    <tableColumn id="1" xr3:uid="{00000000-0010-0000-1400-000001000000}" name="#" totalsRowLabel="Total" dataDxfId="1463"/>
    <tableColumn id="2" xr3:uid="{00000000-0010-0000-1400-000002000000}" name="Tab Name" totalsRowFunction="count" dataDxfId="1462" totalsRowDxfId="1461"/>
    <tableColumn id="3" xr3:uid="{00000000-0010-0000-1400-000003000000}" name="Type" dataDxfId="1460"/>
    <tableColumn id="4" xr3:uid="{00000000-0010-0000-1400-000004000000}" name="Description" dataDxfId="1459"/>
    <tableColumn id="6" xr3:uid="{3F1539BC-F648-41AA-B47C-857024CC0E46}" name="Columns" dataDxfId="1458"/>
    <tableColumn id="5" xr3:uid="{00000000-0010-0000-1400-000005000000}" name="System Admin" dataDxfId="1457"/>
    <tableColumn id="11" xr3:uid="{586C21D2-1DF9-4EE5-819C-469AAFE7913B}" name="Management of Change Coordinator" dataDxfId="1456"/>
    <tableColumn id="12" xr3:uid="{B0DE155A-E99D-4A86-A7FC-D0D39F5CECE5}" name="Management of Change Administrator (Content)" dataDxfId="1455"/>
    <tableColumn id="13" xr3:uid="{F9BB15AE-EFC9-4C11-87AE-CC94511F1107}" name="Risks - Full Access" dataDxfId="1454" dataCellStyle="40% - Accent1"/>
    <tableColumn id="14" xr3:uid="{C6650DF4-72E6-49F5-A31E-8E973B66848B}" name="Risks - Standard Access" dataDxfId="1453" dataCellStyle="40% - Accent1"/>
    <tableColumn id="9" xr3:uid="{00000000-0010-0000-1400-000009000000}" name="Default Sort Order" dataDxfId="1452"/>
    <tableColumn id="7" xr3:uid="{D42979DD-C971-4AA4-8BEF-7F6B39F7A293}" name="Grouped By" dataDxfId="1451"/>
    <tableColumn id="10" xr3:uid="{00000000-0010-0000-1400-00000A000000}" name="Filtered By" dataDxfId="1450"/>
  </tableColumns>
  <tableStyleInfo name="TableStyleLight1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5000000}" name="Table8" displayName="Table8" ref="A2:G25" headerRowDxfId="1449" headerRowBorderDxfId="1448">
  <autoFilter ref="A2:G25" xr:uid="{00000000-0009-0000-0100-000008000000}"/>
  <tableColumns count="7">
    <tableColumn id="1" xr3:uid="{00000000-0010-0000-1500-000001000000}" name="Objects" totalsRowLabel="Total" dataDxfId="1447"/>
    <tableColumn id="2" xr3:uid="{00000000-0010-0000-1500-000002000000}" name="System Admin"/>
    <tableColumn id="3" xr3:uid="{00000000-0010-0000-1500-000003000000}" name="Management of Change Coordinator" dataDxfId="1446" dataCellStyle="20% - Accent1"/>
    <tableColumn id="4" xr3:uid="{00000000-0010-0000-1500-000004000000}" name="Management of Change Administrator (Content)" dataDxfId="1445" dataCellStyle="20% - Accent1"/>
    <tableColumn id="7" xr3:uid="{27506BAD-155A-4E34-9CEB-89555D1712A4}" name="Risks - Full Access" dataDxfId="1444" dataCellStyle="20% - Accent1"/>
    <tableColumn id="8" xr3:uid="{32203C0F-6504-4C30-A2E6-FA43673E06CC}" name="Risks - Standard Access" dataDxfId="1443" dataCellStyle="20% - Accent1"/>
    <tableColumn id="5" xr3:uid="{5AF568F5-247F-4A7F-9F66-E65E43448BD1}" name="Person Responsible*"/>
  </tableColumns>
  <tableStyleInfo name="TableStyleLight16"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6000000}" name="Table912" displayName="Table912" ref="A120:K133" totalsRowShown="0" headerRowDxfId="1442" headerRowBorderDxfId="1441" tableBorderDxfId="1440">
  <autoFilter ref="A120:K133" xr:uid="{00000000-0009-0000-0100-00000B000000}"/>
  <sortState xmlns:xlrd2="http://schemas.microsoft.com/office/spreadsheetml/2017/richdata2" ref="A121:K133">
    <sortCondition ref="A121:A133"/>
  </sortState>
  <tableColumns count="11">
    <tableColumn id="1" xr3:uid="{00000000-0010-0000-1600-000001000000}" name="#" dataDxfId="1439"/>
    <tableColumn id="2" xr3:uid="{00000000-0010-0000-1600-000002000000}" name="Stage" dataDxfId="1438"/>
    <tableColumn id="3" xr3:uid="{00000000-0010-0000-1600-000003000000}" name="Object" dataDxfId="1437"/>
    <tableColumn id="4" xr3:uid="{00000000-0010-0000-1600-000004000000}" name="Original Field Name" dataDxfId="1436"/>
    <tableColumn id="5" xr3:uid="{00000000-0010-0000-1600-000005000000}" name="Field Name" dataDxfId="1435"/>
    <tableColumn id="11" xr3:uid="{00000000-0010-0000-1600-00000B000000}" name="Description" dataDxfId="1434"/>
    <tableColumn id="6" xr3:uid="{00000000-0010-0000-1600-000006000000}" name="Type" dataDxfId="1433"/>
    <tableColumn id="7" xr3:uid="{00000000-0010-0000-1600-000007000000}" name="Mandatory"/>
    <tableColumn id="8" xr3:uid="{00000000-0010-0000-1600-000008000000}" name="Read Only" dataDxfId="1432"/>
    <tableColumn id="9" xr3:uid="{00000000-0010-0000-1600-000009000000}" name="Add / Remove" dataDxfId="1431"/>
    <tableColumn id="10" xr3:uid="{00000000-0010-0000-1600-00000A000000}" name="Notes" dataDxfId="1430"/>
  </tableColumns>
  <tableStyleInfo name="TableStyleLight16"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7000000}" name="Table9416" displayName="Table9416" ref="A136:K150" totalsRowShown="0" headerRowDxfId="1429" headerRowBorderDxfId="1428" tableBorderDxfId="1427">
  <autoFilter ref="A136:K150" xr:uid="{00000000-0009-0000-0100-00000F000000}"/>
  <sortState xmlns:xlrd2="http://schemas.microsoft.com/office/spreadsheetml/2017/richdata2" ref="A137:K150">
    <sortCondition ref="A137:A150"/>
  </sortState>
  <tableColumns count="11">
    <tableColumn id="1" xr3:uid="{00000000-0010-0000-1700-000001000000}" name="#" dataDxfId="1426"/>
    <tableColumn id="2" xr3:uid="{00000000-0010-0000-1700-000002000000}" name="Stage" dataDxfId="1425"/>
    <tableColumn id="3" xr3:uid="{00000000-0010-0000-1700-000003000000}" name="Object" dataDxfId="1424"/>
    <tableColumn id="4" xr3:uid="{00000000-0010-0000-1700-000004000000}" name="Original Field Name" dataDxfId="1423"/>
    <tableColumn id="5" xr3:uid="{00000000-0010-0000-1700-000005000000}" name="Field Name" dataDxfId="1422"/>
    <tableColumn id="11" xr3:uid="{00000000-0010-0000-1700-00000B000000}" name="Description" dataDxfId="1421"/>
    <tableColumn id="6" xr3:uid="{00000000-0010-0000-1700-000006000000}" name="Type" dataDxfId="1420"/>
    <tableColumn id="7" xr3:uid="{00000000-0010-0000-1700-000007000000}" name="Mandatory"/>
    <tableColumn id="8" xr3:uid="{00000000-0010-0000-1700-000008000000}" name="Read Only" dataDxfId="1419"/>
    <tableColumn id="9" xr3:uid="{00000000-0010-0000-1700-000009000000}" name="Add / Remove" dataDxfId="1418"/>
    <tableColumn id="10" xr3:uid="{00000000-0010-0000-1700-00000A000000}" name="Notes" dataDxfId="1417"/>
  </tableColumns>
  <tableStyleInfo name="TableStyleLight1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8000000}" name="Table941623" displayName="Table941623" ref="A153:K167" totalsRowShown="0" headerRowDxfId="1416" headerRowBorderDxfId="1415" tableBorderDxfId="1414">
  <autoFilter ref="A153:K167" xr:uid="{00000000-0009-0000-0100-000016000000}"/>
  <sortState xmlns:xlrd2="http://schemas.microsoft.com/office/spreadsheetml/2017/richdata2" ref="A154:K167">
    <sortCondition ref="A154:A167"/>
  </sortState>
  <tableColumns count="11">
    <tableColumn id="1" xr3:uid="{00000000-0010-0000-1800-000001000000}" name="#" dataDxfId="1413"/>
    <tableColumn id="2" xr3:uid="{00000000-0010-0000-1800-000002000000}" name="Stage" dataDxfId="1412"/>
    <tableColumn id="3" xr3:uid="{00000000-0010-0000-1800-000003000000}" name="Object" dataDxfId="1411"/>
    <tableColumn id="4" xr3:uid="{00000000-0010-0000-1800-000004000000}" name="Original Field Name" dataDxfId="1410"/>
    <tableColumn id="5" xr3:uid="{00000000-0010-0000-1800-000005000000}" name="Field Name" dataDxfId="1409"/>
    <tableColumn id="11" xr3:uid="{00000000-0010-0000-1800-00000B000000}" name="Description" dataDxfId="1408"/>
    <tableColumn id="6" xr3:uid="{00000000-0010-0000-1800-000006000000}" name="Type" dataDxfId="1407"/>
    <tableColumn id="7" xr3:uid="{00000000-0010-0000-1800-000007000000}" name="Mandatory"/>
    <tableColumn id="8" xr3:uid="{00000000-0010-0000-1800-000008000000}" name="Read Only" dataDxfId="1406"/>
    <tableColumn id="9" xr3:uid="{00000000-0010-0000-1800-000009000000}" name="Add / Remove" dataDxfId="1405"/>
    <tableColumn id="10" xr3:uid="{00000000-0010-0000-1800-00000A000000}" name="Notes" dataDxfId="1404"/>
  </tableColumns>
  <tableStyleInfo name="TableStyleLight1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9000000}" name="Table94162324" displayName="Table94162324" ref="A5:K57" totalsRowShown="0" headerRowDxfId="1403" headerRowBorderDxfId="1402" tableBorderDxfId="1401">
  <autoFilter ref="A5:K57" xr:uid="{00000000-0009-0000-0100-000017000000}"/>
  <tableColumns count="11">
    <tableColumn id="1" xr3:uid="{00000000-0010-0000-1900-000001000000}" name="#" dataDxfId="1400"/>
    <tableColumn id="2" xr3:uid="{00000000-0010-0000-1900-000002000000}" name="Stage" dataDxfId="1399"/>
    <tableColumn id="3" xr3:uid="{00000000-0010-0000-1900-000003000000}" name="Object" dataDxfId="1398"/>
    <tableColumn id="4" xr3:uid="{00000000-0010-0000-1900-000004000000}" name="Original Field Name" dataDxfId="1397"/>
    <tableColumn id="5" xr3:uid="{00000000-0010-0000-1900-000005000000}" name="Field Name" dataDxfId="1396"/>
    <tableColumn id="11" xr3:uid="{00000000-0010-0000-1900-00000B000000}" name="Description" dataDxfId="1395"/>
    <tableColumn id="6" xr3:uid="{00000000-0010-0000-1900-000006000000}" name="Type" dataDxfId="1394"/>
    <tableColumn id="7" xr3:uid="{00000000-0010-0000-1900-000007000000}" name="Mandatory" dataDxfId="1393"/>
    <tableColumn id="8" xr3:uid="{00000000-0010-0000-1900-000008000000}" name="Read Only" dataDxfId="1392"/>
    <tableColumn id="9" xr3:uid="{00000000-0010-0000-1900-000009000000}" name="Add / Remove" dataDxfId="1391"/>
    <tableColumn id="10" xr3:uid="{00000000-0010-0000-1900-00000A000000}" name="Notes" dataDxfId="1390"/>
  </tableColumns>
  <tableStyleInfo name="TableStyleLight1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A000000}" name="Table94162325" displayName="Table94162325" ref="A60:K78" totalsRowShown="0" headerRowDxfId="1389" headerRowBorderDxfId="1388" tableBorderDxfId="1387">
  <autoFilter ref="A60:K78" xr:uid="{00000000-0009-0000-0100-000018000000}"/>
  <sortState xmlns:xlrd2="http://schemas.microsoft.com/office/spreadsheetml/2017/richdata2" ref="A61:K78">
    <sortCondition ref="B61:B78"/>
    <sortCondition ref="A61:A78"/>
  </sortState>
  <tableColumns count="11">
    <tableColumn id="1" xr3:uid="{00000000-0010-0000-1A00-000001000000}" name="#" dataDxfId="1386"/>
    <tableColumn id="2" xr3:uid="{00000000-0010-0000-1A00-000002000000}" name="Stage" dataDxfId="1385"/>
    <tableColumn id="3" xr3:uid="{00000000-0010-0000-1A00-000003000000}" name="Object" dataDxfId="1384"/>
    <tableColumn id="4" xr3:uid="{00000000-0010-0000-1A00-000004000000}" name="Original Field Name" dataDxfId="1383"/>
    <tableColumn id="5" xr3:uid="{00000000-0010-0000-1A00-000005000000}" name="Field Name" dataDxfId="1382"/>
    <tableColumn id="11" xr3:uid="{00000000-0010-0000-1A00-00000B000000}" name="Description" dataDxfId="1381"/>
    <tableColumn id="6" xr3:uid="{00000000-0010-0000-1A00-000006000000}" name="Type" dataDxfId="1380"/>
    <tableColumn id="7" xr3:uid="{00000000-0010-0000-1A00-000007000000}" name="Mandatory"/>
    <tableColumn id="8" xr3:uid="{00000000-0010-0000-1A00-000008000000}" name="Read Only" dataDxfId="1379"/>
    <tableColumn id="9" xr3:uid="{00000000-0010-0000-1A00-000009000000}" name="Add / Remove" dataDxfId="1378"/>
    <tableColumn id="10" xr3:uid="{00000000-0010-0000-1A00-00000A000000}" name="Notes" dataDxfId="1377"/>
  </tableColumns>
  <tableStyleInfo name="TableStyleLight1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B000000}" name="Table9416232526" displayName="Table9416232526" ref="A81:K97" totalsRowShown="0" headerRowDxfId="1376" headerRowBorderDxfId="1375" tableBorderDxfId="1374">
  <autoFilter ref="A81:K97" xr:uid="{00000000-0009-0000-0100-000019000000}"/>
  <tableColumns count="11">
    <tableColumn id="1" xr3:uid="{00000000-0010-0000-1B00-000001000000}" name="#" dataDxfId="1373"/>
    <tableColumn id="2" xr3:uid="{00000000-0010-0000-1B00-000002000000}" name="Stage" dataDxfId="1372"/>
    <tableColumn id="3" xr3:uid="{00000000-0010-0000-1B00-000003000000}" name="Object" dataDxfId="1371"/>
    <tableColumn id="4" xr3:uid="{00000000-0010-0000-1B00-000004000000}" name="Original Field Name" dataDxfId="1370"/>
    <tableColumn id="5" xr3:uid="{00000000-0010-0000-1B00-000005000000}" name="Field Name" dataDxfId="1369"/>
    <tableColumn id="11" xr3:uid="{00000000-0010-0000-1B00-00000B000000}" name="Description" dataDxfId="1368"/>
    <tableColumn id="6" xr3:uid="{00000000-0010-0000-1B00-000006000000}" name="Type" dataDxfId="1367"/>
    <tableColumn id="7" xr3:uid="{00000000-0010-0000-1B00-000007000000}" name="Mandatory"/>
    <tableColumn id="8" xr3:uid="{00000000-0010-0000-1B00-000008000000}" name="Read Only" dataDxfId="1366"/>
    <tableColumn id="9" xr3:uid="{00000000-0010-0000-1B00-000009000000}" name="Add / Remove" dataDxfId="1365"/>
    <tableColumn id="10" xr3:uid="{00000000-0010-0000-1B00-00000A000000}" name="Notes" dataDxfId="1364"/>
  </tableColumns>
  <tableStyleInfo name="TableStyleLight1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C000000}" name="Table941623252627" displayName="Table941623252627" ref="A100:K116" totalsRowShown="0" headerRowDxfId="1363" headerRowBorderDxfId="1362" tableBorderDxfId="1361">
  <autoFilter ref="A100:K116" xr:uid="{00000000-0009-0000-0100-00001A000000}"/>
  <sortState xmlns:xlrd2="http://schemas.microsoft.com/office/spreadsheetml/2017/richdata2" ref="A101:K116">
    <sortCondition ref="A101:A116"/>
  </sortState>
  <tableColumns count="11">
    <tableColumn id="1" xr3:uid="{00000000-0010-0000-1C00-000001000000}" name="#" dataDxfId="1360"/>
    <tableColumn id="2" xr3:uid="{00000000-0010-0000-1C00-000002000000}" name="Stage" dataDxfId="1359"/>
    <tableColumn id="3" xr3:uid="{00000000-0010-0000-1C00-000003000000}" name="Object" dataDxfId="1358"/>
    <tableColumn id="4" xr3:uid="{00000000-0010-0000-1C00-000004000000}" name="Original Field Name" dataDxfId="1357"/>
    <tableColumn id="5" xr3:uid="{00000000-0010-0000-1C00-000005000000}" name="Field Name" dataDxfId="1356"/>
    <tableColumn id="11" xr3:uid="{00000000-0010-0000-1C00-00000B000000}" name="Description" dataDxfId="1355"/>
    <tableColumn id="6" xr3:uid="{00000000-0010-0000-1C00-000006000000}" name="Type" dataDxfId="1354"/>
    <tableColumn id="7" xr3:uid="{00000000-0010-0000-1C00-000007000000}" name="Mandatory" dataDxfId="1353"/>
    <tableColumn id="8" xr3:uid="{00000000-0010-0000-1C00-000008000000}" name="Read Only" dataDxfId="1352"/>
    <tableColumn id="9" xr3:uid="{00000000-0010-0000-1C00-000009000000}" name="Add / Remove" dataDxfId="1351"/>
    <tableColumn id="10" xr3:uid="{00000000-0010-0000-1C00-00000A000000}" name="Notes" dataDxfId="135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ackage" Target="../embeddings/Microsoft_Visio_Drawing2.vsdx"/><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package" Target="../embeddings/Microsoft_Visio_Drawing1.vsdx"/><Relationship Id="rId5" Type="http://schemas.openxmlformats.org/officeDocument/2006/relationships/image" Target="../media/image2.emf"/><Relationship Id="rId10" Type="http://schemas.openxmlformats.org/officeDocument/2006/relationships/table" Target="../tables/table3.xml"/><Relationship Id="rId4" Type="http://schemas.openxmlformats.org/officeDocument/2006/relationships/package" Target="../embeddings/Microsoft_Visio_Drawing.vsdx"/><Relationship Id="rId9" Type="http://schemas.openxmlformats.org/officeDocument/2006/relationships/image" Target="../media/image4.emf"/></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Visio_Drawing3.vsdx"/><Relationship Id="rId2" Type="http://schemas.openxmlformats.org/officeDocument/2006/relationships/vmlDrawing" Target="../drawings/vmlDrawing2.vml"/><Relationship Id="rId1" Type="http://schemas.openxmlformats.org/officeDocument/2006/relationships/drawing" Target="../drawings/drawing3.xml"/><Relationship Id="rId5" Type="http://schemas.openxmlformats.org/officeDocument/2006/relationships/table" Target="../tables/table7.xml"/><Relationship Id="rId4" Type="http://schemas.openxmlformats.org/officeDocument/2006/relationships/image" Target="../media/image6.emf"/></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5.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2" Type="http://schemas.openxmlformats.org/officeDocument/2006/relationships/table" Target="../tables/table26.xml"/><Relationship Id="rId1" Type="http://schemas.openxmlformats.org/officeDocument/2006/relationships/printerSettings" Target="../printerSettings/printerSettings6.bin"/><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table" Target="../tables/table36.xml"/><Relationship Id="rId1" Type="http://schemas.openxmlformats.org/officeDocument/2006/relationships/printerSettings" Target="../printerSettings/printerSettings9.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30"/>
  <sheetViews>
    <sheetView topLeftCell="A7" zoomScale="85" zoomScaleNormal="85" workbookViewId="0"/>
  </sheetViews>
  <sheetFormatPr defaultColWidth="9.1015625" defaultRowHeight="14.4" x14ac:dyDescent="0.55000000000000004"/>
  <cols>
    <col min="1" max="1" width="9.1015625" style="4"/>
    <col min="2" max="2" width="10.3125" style="4" customWidth="1"/>
    <col min="3" max="3" width="10.3125" style="4" bestFit="1" customWidth="1"/>
    <col min="4" max="4" width="13.3125" style="4" bestFit="1" customWidth="1"/>
    <col min="5" max="5" width="69.68359375" style="4" customWidth="1"/>
    <col min="6" max="6" width="13.68359375" style="4" bestFit="1" customWidth="1"/>
    <col min="7" max="7" width="23.5234375" style="4" customWidth="1"/>
    <col min="8" max="8" width="24.5234375" style="4" customWidth="1"/>
    <col min="9" max="16384" width="9.1015625" style="4"/>
  </cols>
  <sheetData>
    <row r="5" x14ac:dyDescent="0.55000000000000004">
      <c r="G5"/>
    </row>
    <row r="8" ht="45" x14ac:dyDescent="1.45">
      <c r="B8" s="19" t="s">
        <v>74</v>
      </c>
    </row>
    <row r="9" ht="32.700000000000003" x14ac:dyDescent="1.05">
      <c r="B9" s="20" t="s">
        <v>467</v>
      </c>
      <c r="F9" s="4" t="s">
        <v>542</v>
      </c>
    </row>
    <row r="11" ht="15.6" x14ac:dyDescent="0.6">
      <c r="B11" s="32" t="s">
        <v>84</v>
      </c>
    </row>
    <row r="12" x14ac:dyDescent="0.55000000000000004">
      <c r="A12" s="30">
        <v>1</v>
      </c>
      <c r="B12" s="31" t="s">
        <v>27</v>
      </c>
    </row>
    <row r="13" x14ac:dyDescent="0.55000000000000004">
      <c r="A13" s="30">
        <v>2</v>
      </c>
      <c r="B13" s="31" t="s">
        <v>78</v>
      </c>
    </row>
    <row r="14" x14ac:dyDescent="0.55000000000000004">
      <c r="A14" s="30">
        <v>3</v>
      </c>
      <c r="B14" s="31" t="s">
        <v>67</v>
      </c>
    </row>
    <row r="15" x14ac:dyDescent="0.55000000000000004">
      <c r="A15" s="30">
        <v>4</v>
      </c>
      <c r="B15" s="31" t="s">
        <v>79</v>
      </c>
      <c r="I15"/>
    </row>
    <row r="16" x14ac:dyDescent="0.55000000000000004">
      <c r="A16" s="30">
        <v>5</v>
      </c>
      <c r="B16" s="31" t="s">
        <v>18</v>
      </c>
    </row>
    <row r="17" x14ac:dyDescent="0.55000000000000004">
      <c r="A17" s="30">
        <v>6</v>
      </c>
      <c r="B17" s="31" t="s">
        <v>17</v>
      </c>
    </row>
    <row r="18" x14ac:dyDescent="0.55000000000000004">
      <c r="A18" s="30">
        <v>7</v>
      </c>
      <c r="B18" s="31" t="s">
        <v>80</v>
      </c>
    </row>
    <row r="19" x14ac:dyDescent="0.55000000000000004">
      <c r="A19" s="30">
        <v>8</v>
      </c>
      <c r="B19" s="31" t="s">
        <v>81</v>
      </c>
    </row>
    <row r="20" x14ac:dyDescent="0.55000000000000004">
      <c r="A20" s="30">
        <v>9</v>
      </c>
      <c r="B20" s="31" t="s">
        <v>60</v>
      </c>
    </row>
    <row r="21" x14ac:dyDescent="0.55000000000000004">
      <c r="A21" s="30">
        <v>10</v>
      </c>
      <c r="B21" s="31" t="s">
        <v>82</v>
      </c>
    </row>
    <row r="22" x14ac:dyDescent="0.55000000000000004">
      <c r="A22" s="30">
        <v>11</v>
      </c>
      <c r="B22" s="31" t="s">
        <v>83</v>
      </c>
    </row>
    <row r="25" ht="14.7" thickBot="1" x14ac:dyDescent="0.6">
      <c r="B25" s="89" t="s">
        <v>171</v>
      </c>
      <c r="C25" s="90" t="s">
        <v>52</v>
      </c>
      <c r="D25" s="90" t="s">
        <v>172</v>
      </c>
      <c r="E25" s="90" t="s">
        <v>173</v>
      </c>
      <c r="F25" s="90" t="s">
        <v>174</v>
      </c>
      <c r="G25" s="91" t="s">
        <v>175</v>
      </c>
    </row>
    <row r="26" ht="14.7" thickBot="1" x14ac:dyDescent="0.6">
      <c r="B26" s="163">
        <v>1</v>
      </c>
      <c r="C26" s="166">
        <v>45474</v>
      </c>
      <c r="D26" s="165" t="s">
        <v>792</v>
      </c>
      <c r="E26" s="165"/>
      <c r="F26" s="165"/>
      <c r="G26" s="165"/>
    </row>
    <row r="27" ht="14.7" thickBot="1" x14ac:dyDescent="0.6">
      <c r="B27" s="163">
        <v>1.1000000000000001</v>
      </c>
      <c r="C27" s="164">
        <v>45905</v>
      </c>
      <c r="D27" s="165" t="s">
        <v>793</v>
      </c>
      <c r="E27" s="165" t="s">
        <v>794</v>
      </c>
      <c r="F27" s="165"/>
      <c r="G27" s="165"/>
    </row>
    <row r="28" ht="72.0" thickBot="1" x14ac:dyDescent="0.6" customHeight="1">
      <c r="B28" s="212">
        <v>1.2</v>
      </c>
      <c r="C28" s="213">
        <v>46315</v>
      </c>
      <c r="D28" s="214" t="inlineStr">
        <is>
          <t xml:space="preserve">Rodrigo Llamas (Impala)</t>
        </is>
      </c>
      <c r="E28" s="214" t="inlineStr">
        <is>
          <t xml:space="preserve">Impala requirements - DRAFT for Design Workshop (27-Oct-2026). Sources: ILX App Overview 19-Oct-2026, Impala internal pre-design sessions 20-Oct and 21-Oct-2026, 'MOC Proposal.xlsx' (priority), BRD BO-61 v2.0 B.3 (complementary), SOW v1.5. Changes flagged A/R/M, highlighted in yellow, rationale in 'Impala Notes' columns. Open points marked [TBC].</t>
        </is>
      </c>
      <c r="F28" s="214" t="inlineStr">
        <is>
          <t xml:space="preserve">Sam Robinson, Alonso Maranon Barrios, Khesar Sambo (pending)</t>
        </is>
      </c>
      <c r="G28" s="214" t="inlineStr">
        <is>
          <t xml:space="preserve">Shaun Jones (pending)</t>
        </is>
      </c>
    </row>
    <row r="29" x14ac:dyDescent="0.55000000000000004">
      <c r="B29"/>
      <c r="C29"/>
      <c r="D29"/>
      <c r="E29"/>
      <c r="F29"/>
      <c r="G29"/>
    </row>
    <row r="30" x14ac:dyDescent="0.55000000000000004">
      <c r="B30" s="167"/>
      <c r="C30" s="169"/>
      <c r="D30" s="168"/>
      <c r="E30" s="168"/>
      <c r="F30" s="168"/>
      <c r="G30" s="168"/>
    </row>
  </sheetData>
  <hyperlinks>
    <hyperlink ref="B12" location="'Decisions &amp; Tasks'!A1" display="Decisions &amp; Tasks" xr:uid="{00000000-0004-0000-0000-000000000000}"/>
    <hyperlink ref="B13" location="Workflow!A1" display="Workflow" xr:uid="{00000000-0004-0000-0000-000001000000}"/>
    <hyperlink ref="B14" location="'Notification Schedules'!A1" display="Notification Schedules" xr:uid="{00000000-0004-0000-0000-000002000000}"/>
    <hyperlink ref="B15" location="'Notification Templates'!A1" display="Notification Templates" xr:uid="{00000000-0004-0000-0000-000003000000}"/>
    <hyperlink ref="B16" location="'Location Roles'!A1" display="Location Roles" xr:uid="{00000000-0004-0000-0000-000004000000}"/>
    <hyperlink ref="B17" location="'Object Model'!A1" display="Object Model" xr:uid="{00000000-0004-0000-0000-000005000000}"/>
    <hyperlink ref="B18" location="Fields!A1" display="Fields" xr:uid="{00000000-0004-0000-0000-000006000000}"/>
    <hyperlink ref="B19" location="'Lookup Values'!A1" display="Lookup Values" xr:uid="{00000000-0004-0000-0000-000007000000}"/>
    <hyperlink ref="B20" location="'Action Handlers'!A1" display="Action Handlers" xr:uid="{00000000-0004-0000-0000-000008000000}"/>
    <hyperlink ref="B21" location="'Application Tabs'!A1" display="Application Tabs" xr:uid="{00000000-0004-0000-0000-000009000000}"/>
    <hyperlink ref="B22" location="Security!A1" display="Security" xr:uid="{00000000-0004-0000-0000-00000A000000}"/>
  </hyperlink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30"/>
  <sheetViews>
    <sheetView showGridLines="0" zoomScaleNormal="100" workbookViewId="0">
      <selection activeCell="B7" sqref="B7"/>
    </sheetView>
  </sheetViews>
  <sheetFormatPr defaultColWidth="29.5234375" defaultRowHeight="14.4" x14ac:dyDescent="0.55000000000000004"/>
  <cols>
    <col min="1" max="1" width="5" customWidth="1"/>
    <col min="2" max="2" width="52.68359375" customWidth="1"/>
    <col min="3" max="3" width="33.5234375" customWidth="1"/>
    <col min="4" max="4" width="85" customWidth="1"/>
    <col min="5" max="5" width="17.5234375" style="35" customWidth="1"/>
  </cols>
  <sheetData>
    <row r="1" s="7" customFormat="1" ht="27" x14ac:dyDescent="0.85">
      <c r="A1" s="23" t="s">
        <v>27</v>
      </c>
      <c r="E1" s="33"/>
    </row>
    <row r="2" s="4" customFormat="1" x14ac:dyDescent="0.55000000000000004">
      <c r="A2" s="22" t="s">
        <v>32</v>
      </c>
      <c r="E2" s="34"/>
    </row>
    <row r="3" s="4" customFormat="1" x14ac:dyDescent="0.55000000000000004">
      <c r="E3" s="34"/>
    </row>
    <row r="4" x14ac:dyDescent="0.55000000000000004">
      <c r="A4" s="9" t="s">
        <v>37</v>
      </c>
      <c r="B4" s="9" t="s">
        <v>26</v>
      </c>
      <c r="C4" s="9" t="s">
        <v>42</v>
      </c>
      <c r="D4" s="9" t="s">
        <v>19</v>
      </c>
      <c r="E4" s="9" t="s">
        <v>85</v>
      </c>
    </row>
    <row r="5" ht="28.8" x14ac:dyDescent="0.55000000000000004" customHeight="1">
      <c r="A5" s="5">
        <v>1</v>
      </c>
      <c r="B5" s="204" t="s">
        <v>697</v>
      </c>
      <c r="C5" s="215" t="inlineStr">
        <is>
          <t xml:space="preserve">Intelex</t>
        </is>
      </c>
      <c r="D5" s="215" t="inlineStr">
        <is>
          <t xml:space="preserve">Baseline defect - fix during configuration.</t>
        </is>
      </c>
      <c r="E5" s="52"/>
    </row>
    <row r="6" ht="43.2" x14ac:dyDescent="0.55000000000000004" customHeight="1">
      <c r="A6" s="5">
        <v>2</v>
      </c>
      <c r="B6" s="172" t="s">
        <v>728</v>
      </c>
      <c r="C6" s="215" t="inlineStr">
        <is>
          <t xml:space="preserve">Intelex</t>
        </is>
      </c>
      <c r="D6" s="215" t="inlineStr">
        <is>
          <t xml:space="preserve">Baseline defect - fix during configuration.</t>
        </is>
      </c>
      <c r="E6" s="52"/>
    </row>
    <row r="7" x14ac:dyDescent="0.55000000000000004" ht="72.0" customHeight="1">
      <c r="A7" s="5">
        <v>3</v>
      </c>
      <c r="B7" s="215" t="inlineStr">
        <is>
          <t xml:space="preserve">Replacement in Kind: remove or re-use as 'Simplified MOC' route</t>
        </is>
      </c>
      <c r="C7" s="215" t="inlineStr">
        <is>
          <t xml:space="preserve">Impala - Sam Robinson / Rodrigo Llamas</t>
        </is>
      </c>
      <c r="D7" s="215" t="inlineStr">
        <is>
          <t xml:space="preserve">STILL OPEN after 21-Oct (Sam: 'remove it or use it for a simplified workflow, come back to that'). 20-Oct: like-for-like is not a change per procedure, so the field as such is not needed. But its OOTB skip-path could be re-captioned (e.g. 'Simplified MOC?') to give the simplified route for organisational / IT changes without a new workflow. Decide: remove, or re-use (and define which stages it skips).</t>
        </is>
      </c>
      <c r="E7" s="52"/>
    </row>
    <row r="8" x14ac:dyDescent="0.55000000000000004" ht="72.0" customHeight="1">
      <c r="A8" s="5">
        <v>4</v>
      </c>
      <c r="B8" s="216" t="inlineStr">
        <is>
          <t xml:space="preserve">Re-design MOC workflow: Initiation &gt; Evaluation, Design &amp; Analysis &gt; Approval &gt; Implementation &gt; Start Up &gt; Follow Up</t>
        </is>
      </c>
      <c r="C8" s="216" t="inlineStr">
        <is>
          <t xml:space="preserve">Impala - Sam Robinson / Intelex - Ian</t>
        </is>
      </c>
      <c r="D8" s="216" t="inlineStr">
        <is>
          <t xml:space="preserve">CONFIRMED 21-Oct (Shaun: 'the workflow looks good'): remove Pre-Approval, merge Evaluation + Design &amp; Analysis, ONE main approval stage before Implementation (approve before construction/activity starts); pre-startup checks handled locally. Emergency route not discussed yet. Intelex to confirm it fits SOW 'Moderate configuration' (minor modification of stages) - no Change Order expected by Impala.</t>
        </is>
      </c>
      <c r="E8" s="52"/>
    </row>
    <row r="9" x14ac:dyDescent="0.55000000000000004" ht="57.6" customHeight="1">
      <c r="A9" s="5">
        <v>5</v>
      </c>
      <c r="B9" s="216" t="inlineStr">
        <is>
          <t xml:space="preserve">Sequential approvals Local &gt; Regional &gt; Global</t>
        </is>
      </c>
      <c r="C9" s="216" t="inlineStr">
        <is>
          <t xml:space="preserve">Intelex - Ian</t>
        </is>
      </c>
      <c r="D9" s="216" t="inlineStr">
        <is>
          <t xml:space="preserve">CONFIRMED 21-Oct: Major = Local &gt; Regional &gt; Global; as soon as the TM approves, the next level must be added and triggered AUTOMATICALLY (Sam: 'leave less down to human error'), not entered manually by the TM. OOTB approvals are not ordered. Intelex to propose solution (native ordering, sub-stages or action handler) and scope impact.</t>
        </is>
      </c>
      <c r="E9" s="52"/>
    </row>
    <row r="10" x14ac:dyDescent="0.55000000000000004" ht="100.8" customHeight="1">
      <c r="A10" s="5">
        <v>6</v>
      </c>
      <c r="B10" s="216" t="inlineStr">
        <is>
          <t xml:space="preserve">Change classification = Type of Change (8) x Grade (Minor/Moderate/Major); Level 1-5 scoring dropped</t>
        </is>
      </c>
      <c r="C10" s="216" t="inlineStr">
        <is>
          <t xml:space="preserve">Impala - Shaun Jones</t>
        </is>
      </c>
      <c r="D10" s="216" t="inlineStr">
        <is>
          <t xml:space="preserve">21-Oct: Change Impact linked to the category (= type of change); matrix covers grade of change AND grade of hazard, so no scoring needed. Matrix OUT FOR TEAM REVIEW (check nothing previously Level 4 now comes out Minor). Per 'MOC Proposal.xlsx' (Sam): Minor = Local (TM), Moderate = Regional (HSEC + Ops), Major = Global (HSEC + Ops). Grade descriptors per type + 'Automatic Major' examples. Sam to circulate the updated matrix; Shaun to explain the rationale to Stylianos (internal alignment, not a configuration blocker). Procedure update + retraining required.</t>
        </is>
      </c>
      <c r="E10" s="52"/>
    </row>
    <row r="11" x14ac:dyDescent="0.55000000000000004" ht="57.6" customHeight="1">
      <c r="A11" s="5">
        <v>7</v>
      </c>
      <c r="B11" s="216" t="inlineStr">
        <is>
          <t xml:space="preserve">Screening checklist: Universal + Liquids + Dry supplements</t>
        </is>
      </c>
      <c r="C11" s="216" t="inlineStr">
        <is>
          <t xml:space="preserve">Impala - Sam Robinson</t>
        </is>
      </c>
      <c r="D11" s="216" t="inlineStr">
        <is>
          <t xml:space="preserve">Checklist 'Evaluation, D&amp;A Checklist' loaded as screening questions (Excel import). Part 1 at top location, Part 2 at Liquids segment, Part 3 at Dry segment (triggered by location - confirmed 21-Oct). List under team review. OPEN: same checklist for all changes, or questions shown only for certain types of change [TBC]. Location-specific checklists = Phase 2.</t>
        </is>
      </c>
      <c r="E11" s="52"/>
    </row>
    <row r="12" x14ac:dyDescent="0.55000000000000004" ht="57.6" customHeight="1">
      <c r="A12" s="5">
        <v>8</v>
      </c>
      <c r="B12" s="216" t="inlineStr">
        <is>
          <t xml:space="preserve">MOC Tasks vs Action Plans</t>
        </is>
      </c>
      <c r="C12" s="216" t="inlineStr">
        <is>
          <t xml:space="preserve">Impala - Shaun Jones / Intelex - Ian</t>
        </is>
      </c>
      <c r="D12" s="216" t="inlineStr">
        <is>
          <t xml:space="preserve">21-Oct: keep MOC TASKS as the MOC actions (Shaun: tasks are part of the MOC; if overdue, the MOC is overdue). Sam would prefer Action Plans (single overdue-actions reporting) but is 'happy either way'; Alonso: replacing tasks with Action Plans is probably not a minor change. Ask Intelex only for effort of an Action Plans link (nice-to-have).</t>
        </is>
      </c>
      <c r="E12" s="52"/>
    </row>
    <row r="13" x14ac:dyDescent="0.55000000000000004" ht="57.6" customHeight="1">
      <c r="A13" s="5">
        <v>9</v>
      </c>
      <c r="B13" s="216" t="inlineStr">
        <is>
          <t xml:space="preserve">Task completion stage (pre-startup vs post-startup)</t>
        </is>
      </c>
      <c r="C13" s="216" t="inlineStr">
        <is>
          <t xml:space="preserve">Intelex - Ian</t>
        </is>
      </c>
      <c r="D13" s="216" t="inlineStr">
        <is>
          <t xml:space="preserve">REQUIRED 21-Oct (Khesar / Sam): OOTB a stage cannot be submitted with open tasks, but some tasks identified in Evaluation are only due later (e.g. P&amp;ID update post-change). Add on each MOC Task a 'Complete before stage' field (Implementation / Start Up / Follow Up); the stage gate checks only tasks due for that stage. Covers BRD FR-B3-032.</t>
        </is>
      </c>
      <c r="E13" s="52"/>
    </row>
    <row r="14" x14ac:dyDescent="0.55000000000000004" ht="57.6" customHeight="1">
      <c r="A14" s="5">
        <v>10</v>
      </c>
      <c r="B14" s="216" t="inlineStr">
        <is>
          <t xml:space="preserve">Local (Minor) approval: no single-person MOC</t>
        </is>
      </c>
      <c r="C14" s="216" t="inlineStr">
        <is>
          <t xml:space="preserve">Impala - Shaun Jones</t>
        </is>
      </c>
      <c r="D14" s="216" t="inlineStr">
        <is>
          <t xml:space="preserve">21-Oct (Shaun): a MOC must never be raised, completed and approved by one person (seen in Sphera, e.g. Rotterdam). Local approval = functional review (Operations / Maintenance, other specialists) + Terminal Manager final sign-off (Khesar). Automatic where possible; specialist input (e.g. electrical) may be proceduralised (Sam).</t>
        </is>
      </c>
      <c r="E14" s="52"/>
    </row>
    <row r="15" ht="72.0" customHeight="1">
      <c r="A15" s="217">
        <v>11</v>
      </c>
      <c r="B15" s="216" t="inlineStr">
        <is>
          <t xml:space="preserve">Approval types list</t>
        </is>
      </c>
      <c r="C15" s="216" t="inlineStr">
        <is>
          <t xml:space="preserve">Intelex - Ian</t>
        </is>
      </c>
      <c r="D15" s="216" t="inlineStr">
        <is>
          <t xml:space="preserve">21-Oct: OOTB types (Engineering, Environmental, Safety, Risk Mgmt, Financial, Start Up) kept so users can add functional approvals; 'Operations' missing (Khesar); list to be adapted to the business. Needed: functional types (Operations, Maintenance, Engineering, Safety, Environmental) + level approvals (TM, Regional HSEC/Ops, Global HSEC/Ops). Intelex to propose (re-caption existing objects vs new).</t>
        </is>
      </c>
      <c r="E15" s="52"/>
    </row>
    <row r="16" ht="57.6" customHeight="1">
      <c r="A16" s="217">
        <v>12</v>
      </c>
      <c r="B16" s="216" t="inlineStr">
        <is>
          <t xml:space="preserve">Manual MOC form retired - digital only</t>
        </is>
      </c>
      <c r="C16" s="216" t="inlineStr">
        <is>
          <t xml:space="preserve">Impala - Shaun Jones</t>
        </is>
      </c>
      <c r="D16" s="216" t="inlineStr">
        <is>
          <t xml:space="preserve">DECIDED 21-Oct: no paper/Word MOC form (it only existed because of the Sphera approver limit). Supporting documents (JSA/risk assessment, method statements, procedures, P&amp;IDs, design documents) attached in Intelex; instruction text under Attachments listing expected documents (Khesar).</t>
        </is>
      </c>
      <c r="E16" s="52"/>
    </row>
    <row r="17" ht="43.2" customHeight="1">
      <c r="A17" s="217">
        <v>13</v>
      </c>
      <c r="B17" s="216" t="inlineStr">
        <is>
          <t xml:space="preserve">Per-stage requirements map</t>
        </is>
      </c>
      <c r="C17" s="216" t="inlineStr">
        <is>
          <t xml:space="preserve">Impala - Sam Robinson</t>
        </is>
      </c>
      <c r="D17" s="216" t="inlineStr">
        <is>
          <t xml:space="preserve">ACTION 21-Oct (Shaun): map per stage what we ask, which documents we expect/mandate and where we approve. Sam to update his workbook (EOD 21-Oct); Rodrigo to transfer to this workbook. Also: Follow Up questions from the MOC audit form (Sam).</t>
        </is>
      </c>
      <c r="E17" s="52"/>
    </row>
    <row r="18" ht="43.2" customHeight="1">
      <c r="A18" s="217">
        <v>14</v>
      </c>
      <c r="B18" s="216" t="inlineStr">
        <is>
          <t xml:space="preserve">Simplified MOC workflow (organisational / IT changes)</t>
        </is>
      </c>
      <c r="C18" s="216" t="inlineStr">
        <is>
          <t xml:space="preserve">Intelex - Ian</t>
        </is>
      </c>
      <c r="D18" s="216" t="inlineStr">
        <is>
          <t xml:space="preserve">OPEN: Intelex to confirm whether the simplified/'Change Request' workflow seen in the demo site is in SOW. Impala priority: finalise the full MOC first; Emergency kept minimal (low volume).</t>
        </is>
      </c>
      <c r="E18" s="52"/>
    </row>
    <row r="19" ht="57.6" customHeight="1">
      <c r="A19" s="217">
        <v>15</v>
      </c>
      <c r="B19" s="216" t="inlineStr">
        <is>
          <t xml:space="preserve">Stage gating rules</t>
        </is>
      </c>
      <c r="C19" s="216" t="inlineStr">
        <is>
          <t xml:space="preserve">Impala - Sam Robinson</t>
        </is>
      </c>
      <c r="D19" s="216" t="inlineStr">
        <is>
          <t xml:space="preserve">CONFIRMED 21-Oct: in the demo Sam reached Start Up without answering the stage questions - must be impossible. OOTB nothing forces tasks/approvals per stage. Proposed: all screening questions answered + stage tasks closed before Approval; at least one approval (Local) and all approvals closed before Implementation.</t>
        </is>
      </c>
      <c r="E19" s="52"/>
    </row>
    <row r="20" ht="28.8" customHeight="1">
      <c r="A20" s="217">
        <v>16</v>
      </c>
      <c r="B20" s="216" t="inlineStr">
        <is>
          <t xml:space="preserve">Approvals generated only after evaluation is complete</t>
        </is>
      </c>
      <c r="C20" s="216" t="inlineStr">
        <is>
          <t xml:space="preserve">Intelex - Ian</t>
        </is>
      </c>
      <c r="D20" s="216" t="inlineStr">
        <is>
          <t xml:space="preserve">Resolved by design: approvals auto-generate on entry to the Approval stage (after the checklist). Intelex to confirm generation timing.</t>
        </is>
      </c>
      <c r="E20" s="52"/>
    </row>
    <row r="21" ht="28.8" customHeight="1">
      <c r="A21" s="217">
        <v>17</v>
      </c>
      <c r="B21" s="216" t="inlineStr">
        <is>
          <t xml:space="preserve">External parties (contractors) in tasks/approvals</t>
        </is>
      </c>
      <c r="C21" s="216" t="inlineStr">
        <is>
          <t xml:space="preserve">Impala - Alonso Maranon Barrios</t>
        </is>
      </c>
      <c r="D21" s="216" t="inlineStr">
        <is>
          <t xml:space="preserve">DECIDED: no Intelex access for externals; internal owner of the task collects and uploads evidence. Public Forms are not in SOW.</t>
        </is>
      </c>
      <c r="E21" s="52"/>
    </row>
    <row r="22" ht="43.2" customHeight="1">
      <c r="A22" s="217">
        <v>18</v>
      </c>
      <c r="B22" s="216" t="inlineStr">
        <is>
          <t xml:space="preserve">Security groups and location roles population</t>
        </is>
      </c>
      <c r="C22" s="216" t="inlineStr">
        <is>
          <t xml:space="preserve">Impala - Rodrigo Llamas</t>
        </is>
      </c>
      <c r="D22" s="216" t="inlineStr">
        <is>
          <t xml:space="preserve">Users/groups via Workday (EDIS) feed; location roles (MOC Coordinator, Terminal Manager, Regional/Global approvers) nominated per terminal/region. Local variations handled by role assignment, not by workflow.</t>
        </is>
      </c>
      <c r="E22" s="52"/>
    </row>
    <row r="23" ht="43.2" customHeight="1">
      <c r="A23" s="217">
        <v>19</v>
      </c>
      <c r="B23" s="216" t="inlineStr">
        <is>
          <t xml:space="preserve">Stage due dates, reminders and escalations</t>
        </is>
      </c>
      <c r="C23" s="216" t="inlineStr">
        <is>
          <t xml:space="preserve">Impala - Shaun Jones</t>
        </is>
      </c>
      <c r="D23" s="216" t="inlineStr">
        <is>
          <t xml:space="preserve">21-Oct (Sam): Evaluation/Design &amp; Analysis cannot have a fixed SLA (project size varies wildly); only the Approval stage gets one: approvals within 7 days. Escalation ladder for tasks = BA proposal, to be confirmed.</t>
        </is>
      </c>
      <c r="E23" s="52"/>
    </row>
    <row r="24" ht="28.8" customHeight="1">
      <c r="A24" s="217">
        <v>20</v>
      </c>
      <c r="B24" s="216" t="inlineStr">
        <is>
          <t xml:space="preserve">Translations of custom configuration (ES)</t>
        </is>
      </c>
      <c r="C24" s="216" t="inlineStr">
        <is>
          <t xml:space="preserve">Impala - Rodrigo Llamas</t>
        </is>
      </c>
      <c r="D24" s="216" t="inlineStr">
        <is>
          <t xml:space="preserve">Per SOW Impala translates custom captions, tooltips, instructions and e-mails (OOTB ES/FR/PT/ZH provided).</t>
        </is>
      </c>
      <c r="E24" s="52"/>
    </row>
    <row r="25" ht="43.2" customHeight="1">
      <c r="A25" s="217">
        <v>21</v>
      </c>
      <c r="B25" s="216" t="inlineStr">
        <is>
          <t xml:space="preserve">Minimum number of approvers per grade</t>
        </is>
      </c>
      <c r="C25" s="216" t="inlineStr">
        <is>
          <t xml:space="preserve">Impala - Sam Robinson</t>
        </is>
      </c>
      <c r="D25" s="216" t="inlineStr">
        <is>
          <t xml:space="preserve">PARTLY ANSWERED 21-Oct: Local = at least one functional reviewer (Ops/Maintenance) + TM (so &gt;= 2, in line with BRD). Regional and Global = HSEC + Operations. Exact rule per level to be written in Sam's per-stage map. BRD BO-61 to be updated for Level 0-5 scoring (housekeeping).</t>
        </is>
      </c>
      <c r="E25" s="52"/>
    </row>
    <row r="26" ht="43.2" customHeight="1">
      <c r="A26" s="217">
        <v>22</v>
      </c>
      <c r="B26" s="216" t="inlineStr">
        <is>
          <t xml:space="preserve">Return for revision vs formal rejection</t>
        </is>
      </c>
      <c r="C26" s="216" t="inlineStr">
        <is>
          <t xml:space="preserve">Intelex - Ian</t>
        </is>
      </c>
      <c r="D26" s="216" t="inlineStr">
        <is>
          <t xml:space="preserve">BRD FR-B3-035 (Must): Roll Back from Approval = return for revision, closed approvals are KEPT; formal rejection resets the approval chain (RULE-B3-07). Intelex to confirm OOTB behaviour of approvals on Roll Back.</t>
        </is>
      </c>
      <c r="E26" s="52"/>
    </row>
    <row r="27" ht="43.2" customHeight="1">
      <c r="A27" s="217">
        <v>23</v>
      </c>
      <c r="B27" s="216" t="inlineStr">
        <is>
          <t xml:space="preserve">Emergency MOC regularisation</t>
        </is>
      </c>
      <c r="C27" s="216" t="inlineStr">
        <is>
          <t xml:space="preserve">Impala - Shaun Jones</t>
        </is>
      </c>
      <c r="D27" s="216" t="inlineStr">
        <is>
          <t xml:space="preserve">BRD RULE-B3-14: single senior approval, immediate execution, full dossier (checklist, tasks) completed retrospectively within [TBC] days; record flagged 'pending regularisation' and reported overdue; cannot be closed until regularised (AH17).</t>
        </is>
      </c>
      <c r="E27" s="52"/>
    </row>
    <row r="28" ht="43.2" customHeight="1">
      <c r="A28" s="217">
        <v>24</v>
      </c>
      <c r="B28" s="216" t="inlineStr">
        <is>
          <t xml:space="preserve">Temporary change extensions</t>
        </is>
      </c>
      <c r="C28" s="216" t="inlineStr">
        <is>
          <t xml:space="preserve">Impala - Sam Robinson</t>
        </is>
      </c>
      <c r="D28" s="216" t="inlineStr">
        <is>
          <t xml:space="preserve">BRD RULE-B3-08 / FR-B3-014: review date, max 3 extensions each with rationale and re-approval at the MOC grade (ad hoc approval); conversion to permanent = new MOC linked through Related MOCs (Related MOCs kept 21-Oct for traceability, e.g. phased tank works).</t>
        </is>
      </c>
      <c r="E28" s="52"/>
    </row>
    <row r="29" ht="43.2" customHeight="1">
      <c r="A29" s="217">
        <v>25</v>
      </c>
      <c r="B29" s="216" t="inlineStr">
        <is>
          <t xml:space="preserve">MoC KPIs and leadership reporting</t>
        </is>
      </c>
      <c r="C29" s="216" t="inlineStr">
        <is>
          <t xml:space="preserve">Impala - Rodrigo Llamas</t>
        </is>
      </c>
      <c r="D29" s="216" t="inlineStr">
        <is>
          <t xml:space="preserve">BRD FR-B3-019 / FR-B3-033: monthly YTD permanent/temporary MOCs, open MOCs, overdue temporary MOCs, MoC-related incidents, open MoC actions + leading indicators. To be built as reports/dashboards (reporting phase), fields already captured in this workbook.</t>
        </is>
      </c>
      <c r="E29" s="52"/>
    </row>
    <row r="30" x14ac:dyDescent="0.55000000000000004">
      <c r="A30" t="s">
        <v>77</v>
      </c>
      <c r="B30" s="29">
        <f>SUBTOTAL(103,DecisionsTasks[Task or Decision])</f>
        <v>2</v>
      </c>
      <c r="E30" s="29">
        <f>SUBTOTAL(103,DecisionsTasks[Date Complete])</f>
        <v>0</v>
      </c>
    </row>
  </sheetData>
  <sheetProtection formatCells="0" formatColumns="0" formatRows="0" insertHyperlinks="0" deleteColumns="0" deleteRows="0" sort="0" autoFilter="0" pivotTables="0"/>
  <conditionalFormatting sqref="E5:E14">
    <cfRule type="iconSet" priority="48">
      <iconSet iconSet="3Symbols2">
        <cfvo type="percent" val="0"/>
        <cfvo type="num" val="0"/>
        <cfvo type="num" val="0" gte="0"/>
      </iconSet>
    </cfRule>
  </conditionalFormatting>
  <hyperlinks>
    <hyperlink ref="A1" location="'Cover Sheet'!A1" display="Decisions &amp; Tasks" xr:uid="{00000000-0004-0000-0100-000000000000}"/>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P159"/>
  <sheetViews>
    <sheetView topLeftCell="A69" zoomScale="85" zoomScaleNormal="85" workbookViewId="0">
      <selection activeCell="D70" sqref="D70:D84"/>
    </sheetView>
  </sheetViews>
  <sheetFormatPr defaultColWidth="9.1015625" defaultRowHeight="14.4" x14ac:dyDescent="0.55000000000000004"/>
  <cols>
    <col min="1" max="1" width="9.89453125" style="4" customWidth="1"/>
    <col min="2" max="2" width="27.41796875" style="4" customWidth="1"/>
    <col min="3" max="3" width="18" style="4" bestFit="1" customWidth="1"/>
    <col min="4" max="4" width="28.1015625" style="4" customWidth="1"/>
    <col min="5" max="5" width="18.1015625" style="4" customWidth="1"/>
    <col min="6" max="6" width="21.41796875" style="4" customWidth="1"/>
    <col min="7" max="7" width="73.41796875" style="4" customWidth="1"/>
    <col min="8" max="8" width="15.41796875" style="4" customWidth="1"/>
    <col min="9" max="9" width="80.41796875" style="4" customWidth="1"/>
    <col min="10" max="10" width="55" style="4" customWidth="1"/>
    <col min="11" max="16384" width="9.1015625" style="4"/>
  </cols>
  <sheetData>
    <row r="1" ht="27" x14ac:dyDescent="0.85">
      <c r="A1" s="23" t="s">
        <v>110</v>
      </c>
      <c r="I1" s="23"/>
      <c r="P1" s="6"/>
    </row>
    <row r="2" x14ac:dyDescent="0.55000000000000004">
      <c r="A2" s="24" t="s">
        <v>28</v>
      </c>
    </row>
    <row r="22" ht="27" x14ac:dyDescent="0.55000000000000004">
      <c r="A22" s="28" t="s">
        <v>335</v>
      </c>
    </row>
    <row r="31" ht="23.1" x14ac:dyDescent="0.85">
      <c r="F31" s="7"/>
    </row>
    <row r="33" s="4" customFormat="1" x14ac:dyDescent="0.55000000000000004"/>
    <row r="34" s="4" customFormat="1" x14ac:dyDescent="0.55000000000000004"/>
    <row r="35" s="4" customFormat="1" x14ac:dyDescent="0.55000000000000004"/>
    <row r="36" s="4" customFormat="1" x14ac:dyDescent="0.55000000000000004"/>
    <row r="37" s="4" customFormat="1" x14ac:dyDescent="0.55000000000000004"/>
    <row r="38" s="4" customFormat="1" x14ac:dyDescent="0.55000000000000004"/>
    <row r="39" s="4" customFormat="1" x14ac:dyDescent="0.55000000000000004"/>
    <row r="40" s="4" customFormat="1" x14ac:dyDescent="0.55000000000000004"/>
    <row r="41" s="4" customFormat="1" x14ac:dyDescent="0.55000000000000004"/>
    <row r="42" s="4" customFormat="1" x14ac:dyDescent="0.55000000000000004"/>
    <row r="43" s="4" customFormat="1" x14ac:dyDescent="0.55000000000000004"/>
    <row r="44" s="4" customFormat="1" x14ac:dyDescent="0.55000000000000004"/>
    <row r="45" s="4" customFormat="1" x14ac:dyDescent="0.55000000000000004"/>
    <row r="46" s="4" customFormat="1" x14ac:dyDescent="0.55000000000000004"/>
    <row r="47" s="4" customFormat="1" x14ac:dyDescent="0.55000000000000004"/>
    <row r="48" s="4" customFormat="1" x14ac:dyDescent="0.55000000000000004"/>
    <row r="49" s="4" customFormat="1" x14ac:dyDescent="0.55000000000000004"/>
    <row r="50" s="4" customFormat="1" x14ac:dyDescent="0.55000000000000004"/>
    <row r="51" s="4" customFormat="1" x14ac:dyDescent="0.55000000000000004"/>
    <row r="52" s="4" customFormat="1" x14ac:dyDescent="0.55000000000000004"/>
    <row r="53" s="4" customFormat="1" x14ac:dyDescent="0.55000000000000004"/>
    <row r="54" s="4" customFormat="1" x14ac:dyDescent="0.55000000000000004"/>
    <row r="55" s="4" customFormat="1" x14ac:dyDescent="0.55000000000000004"/>
    <row r="56" s="4" customFormat="1" x14ac:dyDescent="0.55000000000000004"/>
    <row r="57" s="4" customFormat="1" x14ac:dyDescent="0.55000000000000004"/>
    <row r="58" s="4" customFormat="1" x14ac:dyDescent="0.55000000000000004"/>
    <row r="59" s="4" customFormat="1" x14ac:dyDescent="0.55000000000000004"/>
    <row r="60" s="4" customFormat="1" x14ac:dyDescent="0.55000000000000004"/>
    <row r="61" s="4" customFormat="1" x14ac:dyDescent="0.55000000000000004"/>
    <row r="62" s="4" customFormat="1" x14ac:dyDescent="0.55000000000000004"/>
    <row r="63" s="4" customFormat="1" x14ac:dyDescent="0.55000000000000004"/>
    <row r="67" x14ac:dyDescent="0.55000000000000004">
      <c r="A67" s="77" t="s">
        <v>12</v>
      </c>
      <c r="B67" s="12" t="s">
        <v>0</v>
      </c>
      <c r="C67" s="12" t="s">
        <v>1</v>
      </c>
      <c r="D67" s="78" t="s">
        <v>2</v>
      </c>
      <c r="E67" s="78" t="s">
        <v>3</v>
      </c>
      <c r="F67" s="12" t="s">
        <v>5</v>
      </c>
      <c r="G67" s="12" t="s">
        <v>11</v>
      </c>
      <c r="H67" s="12" t="s">
        <v>41</v>
      </c>
      <c r="I67" s="79" t="s">
        <v>4</v>
      </c>
      <c r="J67" s="79" t="inlineStr">
        <is>
          <t xml:space="preserve">Impala Notes</t>
        </is>
      </c>
    </row>
    <row r="68" x14ac:dyDescent="0.55000000000000004" ht="72.0" customHeight="1">
      <c r="A68" s="132">
        <v>1</v>
      </c>
      <c r="B68" s="109" t="s">
        <v>198</v>
      </c>
      <c r="C68" s="109" t="s">
        <v>198</v>
      </c>
      <c r="D68" s="109" t="s">
        <v>450</v>
      </c>
      <c r="E68" s="109" t="s">
        <v>184</v>
      </c>
      <c r="F68" s="16" t="s">
        <v>317</v>
      </c>
      <c r="G68" s="218" t="inlineStr">
        <is>
          <t xml:space="preserve">If 'Emergency Change' = Yes, then transition to 'Approval' stage
Else transition to 'Evaluation, Design &amp; Analysis' stage</t>
        </is>
      </c>
      <c r="H68" s="218" t="inlineStr">
        <is>
          <t xml:space="preserve">N01 / N11</t>
        </is>
      </c>
      <c r="I68" s="219" t="inlineStr">
        <is>
          <t xml:space="preserve">Recipient(s): Change Requester, MOC Coordinator (Role)
N11 to Terminal Manager + Regional HSEC if Emergency = Yes.
Prior to submit: Change Description, Type of Change, Grade of Change, Reason for Change &amp; Technical Basis mandatory; Emergency Justification if Emergency = Yes; Change Expiry if Temporary = Yes.</t>
        </is>
      </c>
      <c r="J68" s="239" t="inlineStr">
        <is>
          <t xml:space="preserve">M - Impala proposal (internal pre-design 20-Oct-2026, 'MOC Proposal.xlsx'). 6 stages instead of 7. Replacement in Kind path ON HOLD: may be re-used as the 'Simplified MOC' route [TBC]. The diagram above shows the OOTB workflow and must be redrawn by Intelex.</t>
        </is>
      </c>
    </row>
    <row r="69" ht="72.0" x14ac:dyDescent="0.55000000000000004" customHeight="1">
      <c r="A69" s="133">
        <v>2</v>
      </c>
      <c r="B69" s="220" t="inlineStr">
        <is>
          <t xml:space="preserve">Evaluation, Design &amp; Analysis</t>
        </is>
      </c>
      <c r="C69" s="221" t="inlineStr">
        <is>
          <t xml:space="preserve">Evaluation, Design &amp; Analysis</t>
        </is>
      </c>
      <c r="D69" s="68" t="s">
        <v>451</v>
      </c>
      <c r="E69" s="220" t="inlineStr">
        <is>
          <t xml:space="preserve">N/A (project dependent - 21-Oct)</t>
        </is>
      </c>
      <c r="F69" s="14" t="s">
        <v>317</v>
      </c>
      <c r="G69" s="222" t="inlineStr">
        <is>
          <t xml:space="preserve">Transition to 'Approval' stage</t>
        </is>
      </c>
      <c r="H69" s="14" t="s">
        <v>156</v>
      </c>
      <c r="I69" s="223" t="inlineStr">
        <is>
          <t xml:space="preserve">Recipient(s): Change Requester
Replaces OOTB Pre-Approval, Evaluation and Design &amp; Analysis stages.
Prior to transitioning: all screening questions and stage questions answered, design documents attached, and tasks whose 'Complete before stage' = Approval closed (tasks due later stay open).</t>
        </is>
      </c>
      <c r="J69" s="239" t="inlineStr">
        <is>
          <t xml:space="preserve">Stage due date = SLA for escalations; values to be confirmed by Impala.</t>
        </is>
      </c>
    </row>
    <row r="70" x14ac:dyDescent="0.55000000000000004" ht="14.4" customHeight="1">
      <c r="A70" s="134"/>
      <c r="B70" s="80"/>
      <c r="C70" s="112"/>
      <c r="D70" s="80"/>
      <c r="E70" s="80"/>
      <c r="F70" s="116" t="s">
        <v>318</v>
      </c>
      <c r="G70" s="122" t="s">
        <v>320</v>
      </c>
      <c r="H70" s="116" t="s">
        <v>157</v>
      </c>
      <c r="I70" s="224" t="inlineStr">
        <is>
          <t xml:space="preserve">Recipient(s): Change Requester</t>
        </is>
      </c>
    </row>
    <row r="71" x14ac:dyDescent="0.55000000000000004" ht="14.4" customHeight="1">
      <c r="A71" s="135"/>
      <c r="B71" s="69"/>
      <c r="C71" s="71"/>
      <c r="D71" s="69"/>
      <c r="E71" s="69"/>
      <c r="F71" s="119" t="s">
        <v>316</v>
      </c>
      <c r="G71" s="119"/>
      <c r="H71" s="119" t="s">
        <v>158</v>
      </c>
      <c r="I71" s="225" t="inlineStr">
        <is>
          <t xml:space="preserve">Recipient(s): Change Requester</t>
        </is>
      </c>
    </row>
    <row r="72" ht="201.6" x14ac:dyDescent="0.55000000000000004" customHeight="1">
      <c r="A72" s="136">
        <v>3</v>
      </c>
      <c r="B72" s="226" t="inlineStr">
        <is>
          <t xml:space="preserve">Approval</t>
        </is>
      </c>
      <c r="C72" s="226" t="inlineStr">
        <is>
          <t xml:space="preserve">Approval</t>
        </is>
      </c>
      <c r="D72" s="72" t="s">
        <v>451</v>
      </c>
      <c r="E72" s="226" t="inlineStr">
        <is>
          <t xml:space="preserve">7 days from stage entry (21-Oct)</t>
        </is>
      </c>
      <c r="F72" s="16" t="s">
        <v>317</v>
      </c>
      <c r="G72" s="218" t="inlineStr">
        <is>
          <t xml:space="preserve">Transition to 'Implementation' stage</t>
        </is>
      </c>
      <c r="H72" s="218" t="inlineStr">
        <is>
          <t xml:space="preserve">N01 / N08</t>
        </is>
      </c>
      <c r="I72" s="219" t="inlineStr">
        <is>
          <t xml:space="preserve">Recipient(s): Change Requester
Approvals auto-generated on stage entry by Grade of Change:
- Minor: Local = functional review (Operations / Maintenance) + Terminal Manager final sign-off
- Moderate: Local &gt; Regional HSEC + Regional Operations
- Major: Local &gt; Regional &gt; Global HSEC + Global Operations (confirmed 21-Oct)
Approvals are SEQUENTIAL and AUTOMATIC: when the TM approves, the next level is added and triggered by the system (Intelex to confirm solution). The single main approval happens here, before construction/activity starts.
Ad hoc approvers can be added by the MOC Coordinator.
Prior to transitioning: at least one approval exists and all approvals are closed (accepted).
Roll Back = return for revision, closed approvals are kept; a formal rejection resets the chain (BRD FR-B3-035) [Intelex to confirm].</t>
        </is>
      </c>
      <c r="J72" s="239" t="inlineStr">
        <is>
          <t xml:space="preserve">Scope: SOW = 'Moderate configuration' (minor modifications to workflow stages). Sequential approvals may need logic: Intelex to confirm approach/effort before design sign-off.</t>
        </is>
      </c>
    </row>
    <row r="73" x14ac:dyDescent="0.55000000000000004" ht="28.8" customHeight="1">
      <c r="A73" s="137"/>
      <c r="B73" s="107"/>
      <c r="C73" s="107"/>
      <c r="D73" s="107"/>
      <c r="E73" s="107"/>
      <c r="F73" s="115" t="s">
        <v>318</v>
      </c>
      <c r="G73" s="227" t="inlineStr">
        <is>
          <t xml:space="preserve">If 'Emergency Change' = Yes, then transition back to 'Initiation' stage
Else transition back to 'Evaluation, Design &amp; Analysis' stage</t>
        </is>
      </c>
      <c r="H73" s="115" t="s">
        <v>157</v>
      </c>
      <c r="I73" s="228" t="inlineStr">
        <is>
          <t xml:space="preserve">Recipient(s): Change Requester</t>
        </is>
      </c>
    </row>
    <row r="74" x14ac:dyDescent="0.55000000000000004" ht="14.4" customHeight="1">
      <c r="A74" s="138"/>
      <c r="B74" s="73"/>
      <c r="C74" s="73"/>
      <c r="D74" s="73"/>
      <c r="E74" s="73"/>
      <c r="F74" s="113" t="s">
        <v>316</v>
      </c>
      <c r="G74" s="113"/>
      <c r="H74" s="113" t="s">
        <v>158</v>
      </c>
      <c r="I74" s="229" t="inlineStr">
        <is>
          <t xml:space="preserve">Recipient(s): Change Requester</t>
        </is>
      </c>
    </row>
    <row r="75" ht="72.0" x14ac:dyDescent="0.55000000000000004" customHeight="1">
      <c r="A75" s="139">
        <v>4</v>
      </c>
      <c r="B75" s="220" t="inlineStr">
        <is>
          <t xml:space="preserve">Implementation</t>
        </is>
      </c>
      <c r="C75" s="220" t="inlineStr">
        <is>
          <t xml:space="preserve">Implementation</t>
        </is>
      </c>
      <c r="D75" s="68" t="s">
        <v>451</v>
      </c>
      <c r="E75" s="68" t="s">
        <v>184</v>
      </c>
      <c r="F75" s="14" t="s">
        <v>317</v>
      </c>
      <c r="G75" s="222" t="inlineStr">
        <is>
          <t xml:space="preserve">Transition to 'Start Up' stage</t>
        </is>
      </c>
      <c r="H75" s="15" t="s">
        <v>156</v>
      </c>
      <c r="I75" s="223" t="inlineStr">
        <is>
          <t xml:space="preserve">Recipient(s): Change Requester
Prior to transitioning: tasks with 'Complete before stage' = Start Up (pre-startup actions, PSSR) closed; Implementation questions answered. Post-startup tasks (e.g. P&amp;ID update) stay open until Follow Up (BRD FR-B3-028 / FR-B3-032).
Optional local pre-startup approval [TBC] - main approval already given.</t>
        </is>
      </c>
    </row>
    <row r="76" ht="14.4" x14ac:dyDescent="0.55000000000000004" customHeight="1">
      <c r="A76" s="140"/>
      <c r="B76" s="80"/>
      <c r="C76" s="80"/>
      <c r="D76" s="80"/>
      <c r="E76" s="80"/>
      <c r="F76" s="116" t="s">
        <v>318</v>
      </c>
      <c r="G76" s="230" t="inlineStr">
        <is>
          <t xml:space="preserve">Transition back to 'Approval' stage</t>
        </is>
      </c>
      <c r="H76" s="117" t="s">
        <v>157</v>
      </c>
      <c r="I76" s="224" t="inlineStr">
        <is>
          <t xml:space="preserve">Recipient(s): Change Requester</t>
        </is>
      </c>
    </row>
    <row r="77" x14ac:dyDescent="0.55000000000000004" ht="14.4" customHeight="1">
      <c r="A77" s="141"/>
      <c r="B77" s="69"/>
      <c r="C77" s="69"/>
      <c r="D77" s="69"/>
      <c r="E77" s="69"/>
      <c r="F77" s="119" t="s">
        <v>316</v>
      </c>
      <c r="G77" s="119"/>
      <c r="H77" s="120" t="s">
        <v>158</v>
      </c>
      <c r="I77" s="225" t="inlineStr">
        <is>
          <t xml:space="preserve">Recipient(s): Change Requester</t>
        </is>
      </c>
    </row>
    <row r="78" ht="28.8" x14ac:dyDescent="0.55000000000000004" customHeight="1">
      <c r="A78" s="136">
        <v>5</v>
      </c>
      <c r="B78" s="226" t="inlineStr">
        <is>
          <t xml:space="preserve">Start Up</t>
        </is>
      </c>
      <c r="C78" s="226" t="inlineStr">
        <is>
          <t xml:space="preserve">Start Up</t>
        </is>
      </c>
      <c r="D78" s="72" t="s">
        <v>451</v>
      </c>
      <c r="E78" s="72" t="s">
        <v>184</v>
      </c>
      <c r="F78" s="16" t="s">
        <v>317</v>
      </c>
      <c r="G78" s="218" t="inlineStr">
        <is>
          <t xml:space="preserve">Transition to 'Follow Up' stage</t>
        </is>
      </c>
      <c r="H78" s="16" t="s">
        <v>156</v>
      </c>
      <c r="I78" s="219" t="inlineStr">
        <is>
          <t xml:space="preserve">Recipient(s): Change Requester
Prior to transitioning to next stage, all tasks (incl. PSSR) have to be completed.</t>
        </is>
      </c>
    </row>
    <row r="79" ht="14.4" x14ac:dyDescent="0.55000000000000004" customHeight="1">
      <c r="A79" s="137"/>
      <c r="B79" s="107"/>
      <c r="C79" s="107"/>
      <c r="D79" s="107"/>
      <c r="E79" s="107"/>
      <c r="F79" s="115" t="s">
        <v>318</v>
      </c>
      <c r="G79" s="227" t="inlineStr">
        <is>
          <t xml:space="preserve">Transition back to 'Implementation'  stage</t>
        </is>
      </c>
      <c r="H79" s="115" t="s">
        <v>157</v>
      </c>
      <c r="I79" s="228" t="inlineStr">
        <is>
          <t xml:space="preserve">Recipient(s): Change Requester</t>
        </is>
      </c>
    </row>
    <row r="80" x14ac:dyDescent="0.55000000000000004" ht="14.4" customHeight="1">
      <c r="A80" s="138"/>
      <c r="B80" s="73"/>
      <c r="C80" s="73"/>
      <c r="D80" s="73"/>
      <c r="E80" s="73"/>
      <c r="F80" s="113" t="s">
        <v>316</v>
      </c>
      <c r="G80" s="113"/>
      <c r="H80" s="113" t="s">
        <v>158</v>
      </c>
      <c r="I80" s="229" t="inlineStr">
        <is>
          <t xml:space="preserve">Recipient(s): Change Requester</t>
        </is>
      </c>
    </row>
    <row r="81" ht="129.6" x14ac:dyDescent="0.55000000000000004" customHeight="1">
      <c r="A81" s="139">
        <v>6</v>
      </c>
      <c r="B81" s="220" t="inlineStr">
        <is>
          <t xml:space="preserve">Follow Up</t>
        </is>
      </c>
      <c r="C81" s="220" t="inlineStr">
        <is>
          <t xml:space="preserve">Follow Up</t>
        </is>
      </c>
      <c r="D81" s="68" t="s">
        <v>451</v>
      </c>
      <c r="E81" s="68" t="s">
        <v>184</v>
      </c>
      <c r="F81" s="222" t="inlineStr">
        <is>
          <t xml:space="preserve">Close</t>
        </is>
      </c>
      <c r="G81" s="222"/>
      <c r="H81" s="231" t="inlineStr">
        <is>
          <t xml:space="preserve">N04</t>
        </is>
      </c>
      <c r="I81" s="223" t="inlineStr">
        <is>
          <t xml:space="preserve">Recipient(s): Change Requester
Prior to closing:
- All tasks and approvals have to be completed.
- If 'Temporary Change' = Yes, then 'Has Temporary Change been scheduled for permanent MOC?' must be 'Yes' (or temporary change removed).
- If 'Emergency Change' = Yes: all screening questions answered and tasks closed (retrospective regularisation, BRD RULE-B3-14).
- Post-MoC verification fields completed (field check, communication, downstream impacts).</t>
        </is>
      </c>
    </row>
    <row r="82" x14ac:dyDescent="0.55000000000000004" ht="14.4" customHeight="1">
      <c r="A82" s="140"/>
      <c r="B82" s="80"/>
      <c r="C82" s="80"/>
      <c r="D82" s="80"/>
      <c r="E82" s="80"/>
      <c r="F82" s="116" t="s">
        <v>318</v>
      </c>
      <c r="G82" s="232" t="inlineStr">
        <is>
          <t xml:space="preserve">Transition back to 'Start Up'  stage</t>
        </is>
      </c>
      <c r="H82" s="117" t="s">
        <v>157</v>
      </c>
      <c r="I82" s="224" t="inlineStr">
        <is>
          <t xml:space="preserve">Recipient(s): Change Requester</t>
        </is>
      </c>
    </row>
    <row r="83" x14ac:dyDescent="0.55000000000000004" ht="14.4" customHeight="1">
      <c r="A83" s="141"/>
      <c r="B83" s="69"/>
      <c r="C83" s="69"/>
      <c r="D83" s="69"/>
      <c r="E83" s="69"/>
      <c r="F83" s="119" t="s">
        <v>316</v>
      </c>
      <c r="G83" s="119"/>
      <c r="H83" s="120" t="s">
        <v>158</v>
      </c>
      <c r="I83" s="225" t="inlineStr">
        <is>
          <t xml:space="preserve">Recipient(s): Change Requester</t>
        </is>
      </c>
    </row>
    <row r="84" ht="72" x14ac:dyDescent="0.55000000000000004">
      <c r="A84" s="233"/>
      <c r="B84" s="226"/>
      <c r="C84" s="226"/>
      <c r="D84" s="226"/>
      <c r="E84" s="226"/>
      <c r="F84" s="234"/>
      <c r="G84" s="109"/>
      <c r="H84" s="234"/>
      <c r="I84" s="235"/>
    </row>
    <row r="85" x14ac:dyDescent="0.55000000000000004">
      <c r="A85" s="137"/>
      <c r="B85" s="107"/>
      <c r="C85" s="107"/>
      <c r="D85" s="107"/>
      <c r="E85" s="107"/>
      <c r="F85" s="236"/>
      <c r="G85" s="236"/>
      <c r="H85" s="236"/>
      <c r="I85" s="237"/>
    </row>
    <row r="86" x14ac:dyDescent="0.55000000000000004">
      <c r="A86" s="137"/>
      <c r="B86" s="73"/>
      <c r="C86" s="107"/>
      <c r="D86" s="73"/>
      <c r="E86" s="73"/>
      <c r="F86" s="238"/>
      <c r="G86" s="10"/>
      <c r="H86" s="236"/>
      <c r="I86" s="237"/>
    </row>
    <row r="90" ht="27" x14ac:dyDescent="0.55000000000000004">
      <c r="A90" s="28" t="s">
        <v>336</v>
      </c>
    </row>
    <row r="109" s="4" customFormat="1" x14ac:dyDescent="0.55000000000000004"/>
    <row r="110" s="4" customFormat="1" x14ac:dyDescent="0.55000000000000004"/>
    <row r="111" s="4" customFormat="1" x14ac:dyDescent="0.55000000000000004"/>
    <row r="112" s="4" customFormat="1" x14ac:dyDescent="0.55000000000000004"/>
    <row r="118" x14ac:dyDescent="0.55000000000000004">
      <c r="A118" s="125" t="s">
        <v>12</v>
      </c>
      <c r="B118" s="125" t="s">
        <v>0</v>
      </c>
      <c r="C118" s="125" t="s">
        <v>1</v>
      </c>
      <c r="D118" s="126" t="s">
        <v>2</v>
      </c>
      <c r="E118" s="126" t="s">
        <v>3</v>
      </c>
      <c r="F118" s="125" t="s">
        <v>5</v>
      </c>
      <c r="G118" s="125" t="s">
        <v>11</v>
      </c>
      <c r="H118" s="125" t="s">
        <v>41</v>
      </c>
      <c r="I118" s="127" t="s">
        <v>4</v>
      </c>
    </row>
    <row r="119" ht="28.8" x14ac:dyDescent="0.55000000000000004">
      <c r="A119" s="128">
        <v>1</v>
      </c>
      <c r="B119" s="111" t="s">
        <v>255</v>
      </c>
      <c r="C119" s="111" t="s">
        <v>255</v>
      </c>
      <c r="D119" s="111" t="s">
        <v>450</v>
      </c>
      <c r="E119" s="111" t="s">
        <v>184</v>
      </c>
      <c r="F119" s="16" t="s">
        <v>337</v>
      </c>
      <c r="G119" s="16" t="s">
        <v>340</v>
      </c>
      <c r="H119" s="16" t="s">
        <v>160</v>
      </c>
      <c r="I119" s="129" t="s">
        <v>691</v>
      </c>
    </row>
    <row r="120" ht="28.8" x14ac:dyDescent="0.55000000000000004">
      <c r="A120" s="142">
        <v>2</v>
      </c>
      <c r="B120" s="143" t="s">
        <v>258</v>
      </c>
      <c r="C120" s="143" t="s">
        <v>258</v>
      </c>
      <c r="D120" s="143" t="s">
        <v>468</v>
      </c>
      <c r="E120" s="143" t="s">
        <v>537</v>
      </c>
      <c r="F120" s="15" t="s">
        <v>338</v>
      </c>
      <c r="G120" s="15" t="s">
        <v>341</v>
      </c>
      <c r="H120" s="15" t="s">
        <v>161</v>
      </c>
      <c r="I120" s="144" t="s">
        <v>471</v>
      </c>
    </row>
    <row r="121" ht="28.8" x14ac:dyDescent="0.55000000000000004">
      <c r="A121" s="145"/>
      <c r="B121" s="145"/>
      <c r="C121" s="145"/>
      <c r="D121" s="145"/>
      <c r="E121" s="145"/>
      <c r="F121" s="120" t="s">
        <v>339</v>
      </c>
      <c r="G121" s="146"/>
      <c r="H121" s="120" t="s">
        <v>345</v>
      </c>
      <c r="I121" s="147" t="s">
        <v>472</v>
      </c>
    </row>
    <row r="125" ht="27" x14ac:dyDescent="0.55000000000000004">
      <c r="A125" s="28" t="s">
        <v>348</v>
      </c>
    </row>
    <row r="155" x14ac:dyDescent="0.55000000000000004">
      <c r="A155" s="125" t="s">
        <v>12</v>
      </c>
      <c r="B155" s="125" t="s">
        <v>0</v>
      </c>
      <c r="C155" s="125" t="s">
        <v>1</v>
      </c>
      <c r="D155" s="126" t="s">
        <v>2</v>
      </c>
      <c r="E155" s="126" t="s">
        <v>3</v>
      </c>
      <c r="F155" s="125" t="s">
        <v>5</v>
      </c>
      <c r="G155" s="125" t="s">
        <v>11</v>
      </c>
      <c r="H155" s="125" t="s">
        <v>41</v>
      </c>
      <c r="I155" s="127" t="s">
        <v>4</v>
      </c>
    </row>
    <row r="156" ht="28.8" x14ac:dyDescent="0.55000000000000004">
      <c r="A156" s="128">
        <v>1</v>
      </c>
      <c r="B156" s="111" t="s">
        <v>255</v>
      </c>
      <c r="C156" s="111" t="s">
        <v>255</v>
      </c>
      <c r="D156" s="111" t="s">
        <v>450</v>
      </c>
      <c r="E156" s="111" t="s">
        <v>184</v>
      </c>
      <c r="F156" s="16" t="s">
        <v>475</v>
      </c>
      <c r="G156" s="16" t="s">
        <v>340</v>
      </c>
      <c r="H156" s="16" t="s">
        <v>352</v>
      </c>
      <c r="I156" s="129" t="s">
        <v>691</v>
      </c>
      <c r="J156" s="240" t="inlineStr">
        <is>
          <t xml:space="preserve">Approval tasks used for Local / Regional / Global approvals (see MOC 'Approval' stage). Draft &gt; In Progress &gt; Closed kept as OOTB.</t>
        </is>
      </c>
    </row>
    <row r="157" ht="28.8" x14ac:dyDescent="0.55000000000000004">
      <c r="A157" s="142">
        <v>2</v>
      </c>
      <c r="B157" s="143" t="s">
        <v>258</v>
      </c>
      <c r="C157" s="143" t="s">
        <v>258</v>
      </c>
      <c r="D157" s="143" t="s">
        <v>692</v>
      </c>
      <c r="E157" s="143" t="s">
        <v>537</v>
      </c>
      <c r="F157" s="15" t="s">
        <v>470</v>
      </c>
      <c r="G157" s="15" t="s">
        <v>341</v>
      </c>
      <c r="H157" s="15" t="s">
        <v>353</v>
      </c>
      <c r="I157" s="144" t="s">
        <v>473</v>
      </c>
    </row>
    <row r="158" ht="57.6" x14ac:dyDescent="0.55000000000000004">
      <c r="A158" s="145"/>
      <c r="B158" s="145"/>
      <c r="C158" s="145"/>
      <c r="D158" s="145"/>
      <c r="E158" s="145" t="s">
        <v>678</v>
      </c>
      <c r="F158" s="120" t="s">
        <v>469</v>
      </c>
      <c r="G158" s="146"/>
      <c r="H158" s="120" t="s">
        <v>354</v>
      </c>
      <c r="I158" s="147" t="s">
        <v>474</v>
      </c>
    </row>
    <row r="159" x14ac:dyDescent="0.55000000000000004">
      <c r="G159" s="4" t="s">
        <v>678</v>
      </c>
    </row>
  </sheetData>
  <hyperlinks>
    <hyperlink ref="A1" location="'Cover Sheet'!A1" display="Process Nonconformance Workflow" xr:uid="{00000000-0004-0000-0200-000000000000}"/>
  </hyperlinks>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2049" r:id="rId4">
          <objectPr defaultSize="0" autoPict="0" r:id="rId5">
            <anchor moveWithCells="1">
              <from>
                <xdr:col>0</xdr:col>
                <xdr:colOff>0</xdr:colOff>
                <xdr:row>22</xdr:row>
                <xdr:rowOff>99060</xdr:rowOff>
              </from>
              <to>
                <xdr:col>9</xdr:col>
                <xdr:colOff>495300</xdr:colOff>
                <xdr:row>64</xdr:row>
                <xdr:rowOff>22860</xdr:rowOff>
              </to>
            </anchor>
          </objectPr>
        </oleObject>
      </mc:Choice>
      <mc:Fallback>
        <oleObject progId="Visio.Drawing.15" shapeId="2049" r:id="rId4"/>
      </mc:Fallback>
    </mc:AlternateContent>
    <mc:AlternateContent xmlns:mc="http://schemas.openxmlformats.org/markup-compatibility/2006">
      <mc:Choice Requires="x14">
        <oleObject progId="Visio.Drawing.15" shapeId="2050" r:id="rId6">
          <objectPr defaultSize="0" autoPict="0" r:id="rId7">
            <anchor moveWithCells="1" sizeWithCells="1">
              <from>
                <xdr:col>0</xdr:col>
                <xdr:colOff>0</xdr:colOff>
                <xdr:row>90</xdr:row>
                <xdr:rowOff>106680</xdr:rowOff>
              </from>
              <to>
                <xdr:col>6</xdr:col>
                <xdr:colOff>137160</xdr:colOff>
                <xdr:row>116</xdr:row>
                <xdr:rowOff>83820</xdr:rowOff>
              </to>
            </anchor>
          </objectPr>
        </oleObject>
      </mc:Choice>
      <mc:Fallback>
        <oleObject progId="Visio.Drawing.15" shapeId="2050" r:id="rId6"/>
      </mc:Fallback>
    </mc:AlternateContent>
    <mc:AlternateContent xmlns:mc="http://schemas.openxmlformats.org/markup-compatibility/2006">
      <mc:Choice Requires="x14">
        <oleObject progId="Visio.Drawing.15" shapeId="2051" r:id="rId8">
          <objectPr defaultSize="0" autoPict="0" r:id="rId9">
            <anchor moveWithCells="1" sizeWithCells="1">
              <from>
                <xdr:col>0</xdr:col>
                <xdr:colOff>0</xdr:colOff>
                <xdr:row>125</xdr:row>
                <xdr:rowOff>68580</xdr:rowOff>
              </from>
              <to>
                <xdr:col>6</xdr:col>
                <xdr:colOff>1676400</xdr:colOff>
                <xdr:row>153</xdr:row>
                <xdr:rowOff>45720</xdr:rowOff>
              </to>
            </anchor>
          </objectPr>
        </oleObject>
      </mc:Choice>
      <mc:Fallback>
        <oleObject progId="Visio.Drawing.15" shapeId="2051" r:id="rId8"/>
      </mc:Fallback>
    </mc:AlternateContent>
  </oleObjects>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E25"/>
  <sheetViews>
    <sheetView showGridLines="0" zoomScaleNormal="100" workbookViewId="0"/>
  </sheetViews>
  <sheetFormatPr defaultColWidth="44" defaultRowHeight="14.4" x14ac:dyDescent="0.55000000000000004"/>
  <cols>
    <col min="1" max="1" width="7.41796875" customWidth="1"/>
    <col min="2" max="2" width="25.89453125" customWidth="1"/>
    <col min="3" max="3" width="53.5234375" customWidth="1"/>
    <col min="4" max="4" width="14" customWidth="1"/>
    <col min="5" max="5" width="35.5234375" customWidth="1"/>
  </cols>
  <sheetData>
    <row r="1" s="4" customFormat="1" ht="27" x14ac:dyDescent="0.85">
      <c r="A1" s="23" t="s">
        <v>67</v>
      </c>
      <c r="C1" s="23"/>
    </row>
    <row r="2" s="4" customFormat="1" x14ac:dyDescent="0.55000000000000004">
      <c r="A2" s="21" t="s">
        <v>73</v>
      </c>
    </row>
    <row r="3" s="4" customFormat="1" x14ac:dyDescent="0.55000000000000004"/>
    <row r="4" ht="27" x14ac:dyDescent="0.85">
      <c r="A4" s="27" t="s">
        <v>62</v>
      </c>
      <c r="B4" s="241" t="inlineStr">
        <is>
          <t xml:space="preserve">MOC Approval (due 7 days after request - 21-Oct) and MOC Task (BA proposal [TBC])</t>
        </is>
      </c>
    </row>
    <row r="5" x14ac:dyDescent="0.55000000000000004">
      <c r="A5" s="9" t="s">
        <v>68</v>
      </c>
      <c r="B5" s="9" t="s">
        <v>88</v>
      </c>
      <c r="C5" s="9" t="s">
        <v>70</v>
      </c>
      <c r="D5" s="9" t="s">
        <v>22</v>
      </c>
      <c r="E5" s="85" t="s">
        <v>122</v>
      </c>
    </row>
    <row r="6" x14ac:dyDescent="0.55000000000000004">
      <c r="A6" s="242">
        <v>2</v>
      </c>
      <c r="B6" s="242" t="inlineStr">
        <is>
          <t xml:space="preserve">Before</t>
        </is>
      </c>
      <c r="C6" s="243" t="inlineStr">
        <is>
          <t xml:space="preserve">Person Responsible (approver / task owner)</t>
        </is>
      </c>
      <c r="D6" s="242" t="inlineStr">
        <is>
          <t xml:space="preserve">N14 / N13</t>
        </is>
      </c>
      <c r="E6" s="244" t="inlineStr">
        <is>
          <t xml:space="preserve">Once</t>
        </is>
      </c>
    </row>
    <row r="7" x14ac:dyDescent="0.55000000000000004">
      <c r="A7" s="245">
        <v>0</v>
      </c>
      <c r="B7" s="245" t="inlineStr">
        <is>
          <t xml:space="preserve">On</t>
        </is>
      </c>
      <c r="C7" s="246" t="inlineStr">
        <is>
          <t xml:space="preserve">Person Responsible</t>
        </is>
      </c>
      <c r="D7" s="245" t="inlineStr">
        <is>
          <t xml:space="preserve">N14 / N13</t>
        </is>
      </c>
      <c r="E7" s="244" t="inlineStr">
        <is>
          <t xml:space="preserve">Once</t>
        </is>
      </c>
    </row>
    <row r="8" x14ac:dyDescent="0.55000000000000004">
      <c r="A8" s="242">
        <v>3</v>
      </c>
      <c r="B8" s="242" t="inlineStr">
        <is>
          <t xml:space="preserve">After</t>
        </is>
      </c>
      <c r="C8" s="243" t="inlineStr">
        <is>
          <t xml:space="preserve">Person Responsible + MOC Coordinator (Role)</t>
        </is>
      </c>
      <c r="D8" s="242" t="inlineStr">
        <is>
          <t xml:space="preserve">N14 / N13</t>
        </is>
      </c>
      <c r="E8" s="244" t="inlineStr">
        <is>
          <t xml:space="preserve">Every 3 days until closed [TBC]</t>
        </is>
      </c>
    </row>
    <row r="9" x14ac:dyDescent="0.55000000000000004">
      <c r="A9" s="245">
        <v>7</v>
      </c>
      <c r="B9" s="245" t="inlineStr">
        <is>
          <t xml:space="preserve">After</t>
        </is>
      </c>
      <c r="C9" s="246" t="inlineStr">
        <is>
          <t xml:space="preserve">Terminal Manager (Role) [TBC]</t>
        </is>
      </c>
      <c r="D9" s="245" t="inlineStr">
        <is>
          <t xml:space="preserve">N14 / N13</t>
        </is>
      </c>
      <c r="E9" s="244" t="inlineStr">
        <is>
          <t xml:space="preserve">Once</t>
        </is>
      </c>
    </row>
    <row r="10" x14ac:dyDescent="0.55000000000000004">
      <c r="A10" s="54" t="s">
        <v>76</v>
      </c>
      <c r="B10" s="54"/>
      <c r="C10" s="53"/>
      <c r="D10" s="54">
        <f>SUBTOTAL(103,Table2[Template '#])</f>
        <v>0</v>
      </c>
      <c r="E10" s="86"/>
    </row>
    <row r="13">
      <c r="A13" s="27" t="inlineStr">
        <is>
          <t xml:space="preserve">Object Name</t>
        </is>
      </c>
      <c r="B13" s="241" t="inlineStr">
        <is>
          <t xml:space="preserve">MOC - Temporary Change (relative to Change Expiry)</t>
        </is>
      </c>
    </row>
    <row r="14">
      <c r="A14" s="9" t="inlineStr">
        <is>
          <t xml:space="preserve">Days</t>
        </is>
      </c>
      <c r="B14" s="9" t="inlineStr">
        <is>
          <t xml:space="preserve">Relative to Change Expiry</t>
        </is>
      </c>
      <c r="C14" s="9" t="inlineStr">
        <is>
          <t xml:space="preserve">Recipient</t>
        </is>
      </c>
      <c r="D14" s="9" t="inlineStr">
        <is>
          <t xml:space="preserve">Template #</t>
        </is>
      </c>
      <c r="E14" s="85" t="inlineStr">
        <is>
          <t xml:space="preserve">Recurrence</t>
        </is>
      </c>
    </row>
    <row r="15">
      <c r="A15" s="247">
        <v>30</v>
      </c>
      <c r="B15" s="247" t="inlineStr">
        <is>
          <t xml:space="preserve">Before</t>
        </is>
      </c>
      <c r="C15" s="248" t="inlineStr">
        <is>
          <t xml:space="preserve">Change Requester + MOC Coordinator (Role)</t>
        </is>
      </c>
      <c r="D15" s="247" t="inlineStr">
        <is>
          <t xml:space="preserve">N12</t>
        </is>
      </c>
      <c r="E15" s="249" t="inlineStr">
        <is>
          <t xml:space="preserve">Once</t>
        </is>
      </c>
    </row>
    <row r="16">
      <c r="A16" s="247">
        <v>7</v>
      </c>
      <c r="B16" s="247" t="inlineStr">
        <is>
          <t xml:space="preserve">Before</t>
        </is>
      </c>
      <c r="C16" s="248" t="inlineStr">
        <is>
          <t xml:space="preserve">Change Requester + MOC Coordinator (Role)</t>
        </is>
      </c>
      <c r="D16" s="247" t="inlineStr">
        <is>
          <t xml:space="preserve">N12</t>
        </is>
      </c>
      <c r="E16" s="249" t="inlineStr">
        <is>
          <t xml:space="preserve">Once</t>
        </is>
      </c>
    </row>
    <row r="17">
      <c r="A17" s="247">
        <v>0</v>
      </c>
      <c r="B17" s="247" t="inlineStr">
        <is>
          <t xml:space="preserve">On</t>
        </is>
      </c>
      <c r="C17" s="248" t="inlineStr">
        <is>
          <t xml:space="preserve">Change Requester + MOC Coordinator (Role) + Terminal Manager (Role)</t>
        </is>
      </c>
      <c r="D17" s="247" t="inlineStr">
        <is>
          <t xml:space="preserve">N12</t>
        </is>
      </c>
      <c r="E17" s="249" t="inlineStr">
        <is>
          <t xml:space="preserve">Once</t>
        </is>
      </c>
    </row>
    <row r="19">
      <c r="A19" s="21" t="inlineStr">
        <is>
          <t xml:space="preserve">Impala note: escalation days are a proposal pending confirmation of stage SLAs [TBC]. Only while MOC is not Closed/Cancelled.</t>
        </is>
      </c>
    </row>
    <row r="25" ht="27" x14ac:dyDescent="0.85">
      <c r="C25" s="23"/>
    </row>
  </sheetData>
  <dataValidations count="1">
    <dataValidation type="list" allowBlank="1" showInputMessage="1" showErrorMessage="1" sqref="B6:B9" xr:uid="{00000000-0002-0000-0300-000000000000}">
      <formula1>TaskDueDates</formula1>
    </dataValidation>
  </dataValidations>
  <hyperlinks>
    <hyperlink ref="A1" location="'Cover Sheet'!A1" display="Notification Schedule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32"/>
  <sheetViews>
    <sheetView showGridLines="0" topLeftCell="C1" zoomScale="90" zoomScaleNormal="90" workbookViewId="0">
      <selection activeCell="G6" sqref="G6"/>
    </sheetView>
  </sheetViews>
  <sheetFormatPr defaultColWidth="18.41796875" defaultRowHeight="14.4" x14ac:dyDescent="0.55000000000000004"/>
  <cols>
    <col min="1" max="1" width="6.41796875" style="5" customWidth="1"/>
    <col min="2" max="2" width="57.41796875" customWidth="1"/>
    <col min="3" max="3" width="37.41796875" customWidth="1"/>
    <col min="4" max="4" width="33.41796875" customWidth="1"/>
    <col min="5" max="5" width="64.41796875" bestFit="1" customWidth="1"/>
    <col min="6" max="6" width="71.41796875" customWidth="1"/>
    <col min="7" max="7" width="50" customWidth="1"/>
  </cols>
  <sheetData>
    <row r="1" s="4" customFormat="1" ht="27" x14ac:dyDescent="0.85">
      <c r="A1" s="45" t="s">
        <v>10</v>
      </c>
      <c r="C1" s="45"/>
    </row>
    <row r="2" s="4" customFormat="1" ht="15" customHeight="1" x14ac:dyDescent="0.55000000000000004">
      <c r="A2" s="24" t="s">
        <v>20</v>
      </c>
    </row>
    <row r="3" s="4" customFormat="1" x14ac:dyDescent="0.55000000000000004">
      <c r="A3" s="8"/>
    </row>
    <row r="4" s="29" customFormat="1" x14ac:dyDescent="0.55000000000000004">
      <c r="A4" s="9" t="s">
        <v>37</v>
      </c>
      <c r="B4" s="9" t="s">
        <v>31</v>
      </c>
      <c r="C4" s="9" t="s">
        <v>8</v>
      </c>
      <c r="D4" s="9" t="s">
        <v>66</v>
      </c>
      <c r="E4" s="9" t="s">
        <v>9</v>
      </c>
      <c r="F4" s="9" t="s">
        <v>75</v>
      </c>
      <c r="G4" s="9" t="inlineStr">
        <is>
          <t xml:space="preserve">Impala Notes</t>
        </is>
      </c>
    </row>
    <row r="5" s="13" customFormat="1" ht="49.5" customHeight="1" x14ac:dyDescent="0.55000000000000004">
      <c r="A5" s="36" t="s">
        <v>156</v>
      </c>
      <c r="B5" s="41" t="s">
        <v>305</v>
      </c>
      <c r="C5" s="41" t="s">
        <v>534</v>
      </c>
      <c r="D5" s="250" t="inlineStr">
        <is>
          <t xml:space="preserve">Initiation -&gt; Evaluation, Design &amp; Analysis / Approval
(any other stage) -&gt; (next stage)</t>
        </is>
      </c>
      <c r="E5" s="41" t="s">
        <v>306</v>
      </c>
      <c r="F5" s="250" t="inlineStr">
        <is>
          <t xml:space="preserve">The following MOC has been promoted:
Module: Management of Change
Location: {#Location}
Status : {#Workflow.Status}
Change Description: {#ChanDescription}
Emergency Change : {#EmergencyChange}
Temporary Change: {#TemporaryChange}
Type of Change: {#MOCCategory}
Grade of Change: {#ChangeImpact}
Requested Change Date: {#RequeChangeDate}
Change Requester: {#ChangeRequester}
--------------------------------------------------------
Please login to view full details of the report.</t>
        </is>
      </c>
      <c r="G5" s="251" t="inlineStr">
        <is>
          <t xml:space="preserve">M - stages renamed; body: Replacement in kind removed, Type of Change + Grade of Change added ({#ChangeImpact} system name to be confirmed by Intelex).</t>
        </is>
      </c>
    </row>
    <row r="6" s="13" customFormat="1" ht="33.75" customHeight="1" x14ac:dyDescent="0.55000000000000004">
      <c r="A6" s="38" t="s">
        <v>157</v>
      </c>
      <c r="B6" s="39" t="s">
        <v>308</v>
      </c>
      <c r="C6" s="41" t="s">
        <v>530</v>
      </c>
      <c r="D6" s="39" t="s">
        <v>532</v>
      </c>
      <c r="E6" s="39" t="s">
        <v>309</v>
      </c>
      <c r="F6" s="246" t="inlineStr">
        <is>
          <t xml:space="preserve">To: {#ChangeRequester}
The following MOC has been rolled back:
Module: Management of Change
Location: {#Location}
Status : {#Workflow.Status}
Change Description: {#ChanDescription}
Emergency Change : {#EmergencyChange}
Temporary Change: {#TemporaryChange}
Type of Change: {#MOCCategory}
Grade of Change: {#ChangeImpact}
Requested Change Date: {#RequeChangeDate}
--------------------------------------------------------
Please login to view full details of the report.</t>
        </is>
      </c>
      <c r="G6" s="251" t="inlineStr">
        <is>
          <t xml:space="preserve">M - body: Replacement in kind removed, Type/Grade of Change added.</t>
        </is>
      </c>
    </row>
    <row r="7" s="13" customFormat="1" ht="24.9" customHeight="1" x14ac:dyDescent="0.55000000000000004">
      <c r="A7" s="36" t="s">
        <v>158</v>
      </c>
      <c r="B7" s="41" t="s">
        <v>311</v>
      </c>
      <c r="C7" s="41" t="s">
        <v>530</v>
      </c>
      <c r="D7" s="41" t="s">
        <v>531</v>
      </c>
      <c r="E7" s="41" t="s">
        <v>312</v>
      </c>
      <c r="F7" s="250" t="inlineStr">
        <is>
          <t xml:space="preserve">To: {#ChangeRequester}
The following MOC has been cancelled:
Module: Management of Change
Location: {#Location}
Status : Cancelled
Change Description: {#ChanDescription}
Emergency Change : {#EmergencyChange}
Temporary Change: {#TemporaryChange}
Change Impact: {#ChangeImpact}
MOC Category: {#Category}
Requested Change Date: {#RequeChangeDate}
Cancellation Date: {#Workflow.DateModified}
--------------------------------------------------------
Please login to view full details of the report.</t>
        </is>
      </c>
      <c r="G7" s="251" t="inlineStr">
        <is>
          <t xml:space="preserve">M - body: Replacement in kind removed, Type/Grade of Change added.</t>
        </is>
      </c>
    </row>
    <row r="8" s="13" customFormat="1" ht="24.9" customHeight="1" x14ac:dyDescent="0.55000000000000004">
      <c r="A8" s="38" t="s">
        <v>159</v>
      </c>
      <c r="B8" s="39" t="s">
        <v>313</v>
      </c>
      <c r="C8" s="41" t="s">
        <v>530</v>
      </c>
      <c r="D8" s="39" t="s">
        <v>533</v>
      </c>
      <c r="E8" s="39" t="s">
        <v>314</v>
      </c>
      <c r="F8" s="246" t="inlineStr">
        <is>
          <t xml:space="preserve">To: {#ChangeRequester}
The following MOC closed:
Module: Management of Change
Location: {#Location}
Status : Closed
Change Description: {#ChanDescription}
Emergency Change : {#EmergencyChange}
Temporary Change: {#TemporaryChange}
Type of Change: {#MOCCategory}
Grade of Change: {#ChangeImpact}
Requested Change Date: {#RequeChangeDate}
Completion Date: {#Workflow.DateModified}
--------------------------------------------------------
Please login to view full details of the report.</t>
        </is>
      </c>
      <c r="G8" s="251" t="inlineStr">
        <is>
          <t xml:space="preserve">M - body: Replacement in kind removed, Type/Grade of Change added.</t>
        </is>
      </c>
    </row>
    <row r="9" s="13" customFormat="1" ht="24.9" customHeight="1" x14ac:dyDescent="0.55000000000000004">
      <c r="A9" s="36" t="s">
        <v>160</v>
      </c>
      <c r="B9" s="41" t="s">
        <v>521</v>
      </c>
      <c r="C9" s="41" t="s">
        <v>522</v>
      </c>
      <c r="D9" s="41" t="s">
        <v>523</v>
      </c>
      <c r="E9" s="41" t="s">
        <v>342</v>
      </c>
      <c r="F9" s="41" t="s">
        <v>686</v>
      </c>
    </row>
    <row r="10" ht="24.9" customHeight="1" x14ac:dyDescent="0.55000000000000004">
      <c r="A10" s="38" t="s">
        <v>161</v>
      </c>
      <c r="B10" s="39" t="s">
        <v>343</v>
      </c>
      <c r="C10" s="39" t="s">
        <v>524</v>
      </c>
      <c r="D10" s="246" t="inlineStr">
        <is>
          <t xml:space="preserve">In Progress -&gt; Draft (Reject Task)</t>
        </is>
      </c>
      <c r="E10" s="39" t="s">
        <v>344</v>
      </c>
      <c r="F10" s="39" t="s">
        <v>687</v>
      </c>
      <c r="G10" s="251" t="inlineStr">
        <is>
          <t xml:space="preserve">M - baseline trigger was 'In Progress -&gt; Closed' (swapped with N07).</t>
        </is>
      </c>
    </row>
    <row r="11" ht="24.9" customHeight="1" x14ac:dyDescent="0.55000000000000004">
      <c r="A11" s="38" t="s">
        <v>345</v>
      </c>
      <c r="B11" s="39" t="s">
        <v>346</v>
      </c>
      <c r="C11" s="39" t="s">
        <v>524</v>
      </c>
      <c r="D11" s="246" t="inlineStr">
        <is>
          <t xml:space="preserve">In Progress -&gt; Closed (Close Task)</t>
        </is>
      </c>
      <c r="E11" s="39" t="s">
        <v>347</v>
      </c>
      <c r="F11" s="39" t="s">
        <v>688</v>
      </c>
      <c r="G11" s="251" t="inlineStr">
        <is>
          <t xml:space="preserve">M - baseline trigger was 'In Progress -&gt; Draft' (swapped with N06).</t>
        </is>
      </c>
    </row>
    <row r="12" ht="24.9" customHeight="1" x14ac:dyDescent="0.55000000000000004">
      <c r="A12" s="38" t="s">
        <v>352</v>
      </c>
      <c r="B12" s="39" t="s">
        <v>527</v>
      </c>
      <c r="C12" s="41" t="s">
        <v>522</v>
      </c>
      <c r="D12" s="41" t="s">
        <v>523</v>
      </c>
      <c r="E12" s="39" t="s">
        <v>349</v>
      </c>
      <c r="F12" s="39" t="s">
        <v>689</v>
      </c>
      <c r="G12" s="251" t="inlineStr">
        <is>
          <t xml:space="preserve">Used for Local / Regional / Global approval requests. Must only be sent when that approval level is actually requested (sequential approvals).</t>
        </is>
      </c>
    </row>
    <row r="13" ht="24.9" customHeight="1" x14ac:dyDescent="0.55000000000000004">
      <c r="A13" s="38" t="s">
        <v>353</v>
      </c>
      <c r="B13" s="39" t="s">
        <v>528</v>
      </c>
      <c r="C13" s="39" t="s">
        <v>524</v>
      </c>
      <c r="D13" s="39" t="s">
        <v>526</v>
      </c>
      <c r="E13" s="39" t="s">
        <v>351</v>
      </c>
      <c r="F13" s="39" t="s">
        <v>687</v>
      </c>
    </row>
    <row r="14" ht="24.9" customHeight="1" x14ac:dyDescent="0.55000000000000004">
      <c r="A14" s="38" t="s">
        <v>354</v>
      </c>
      <c r="B14" s="39" t="s">
        <v>529</v>
      </c>
      <c r="C14" s="39" t="s">
        <v>524</v>
      </c>
      <c r="D14" s="39" t="s">
        <v>525</v>
      </c>
      <c r="E14" s="39" t="s">
        <v>350</v>
      </c>
      <c r="F14" s="39" t="s">
        <v>690</v>
      </c>
    </row>
    <row r="15" x14ac:dyDescent="0.55000000000000004" ht="24.9" customHeight="1">
      <c r="A15" s="245" t="inlineStr">
        <is>
          <t xml:space="preserve">N11</t>
        </is>
      </c>
      <c r="B15" s="246" t="inlineStr">
        <is>
          <t xml:space="preserve">Emergency MOC submitted</t>
        </is>
      </c>
      <c r="C15" s="246" t="inlineStr">
        <is>
          <t xml:space="preserve">Terminal Manager (Role)
Regional HSEC Manager (Role)
MOC Coordinator (Role)</t>
        </is>
      </c>
      <c r="D15" s="246" t="inlineStr">
        <is>
          <t xml:space="preserve">Initiation -&gt; Approval when Emergency Change = Yes</t>
        </is>
      </c>
      <c r="E15" s="246" t="inlineStr">
        <is>
          <t xml:space="preserve">EMERGENCY MOC - {#ChanDescription} submitted for approval</t>
        </is>
      </c>
      <c r="F15" s="246" t="inlineStr">
        <is>
          <t xml:space="preserve">An emergency MOC has been submitted and requires urgent approval:
Module: Management of Change
Location: {#Location}
Change Description: {#ChanDescription}
Emergency Justification: {#EmergencyJustification}
Type of Change: {#MOCCategory}
Grade of Change: {#ChangeImpact}
Change Requester: {#ChangeRequester}
--------------------------------------------------------
Please login to view full details of the report.</t>
        </is>
      </c>
      <c r="G15" s="251" t="inlineStr">
        <is>
          <t xml:space="preserve">A - new template (placeholders' system names to be confirmed by Intelex).</t>
        </is>
      </c>
    </row>
    <row r="16" ht="24.9" customHeight="1">
      <c r="A16" s="245" t="inlineStr">
        <is>
          <t xml:space="preserve">N12</t>
        </is>
      </c>
      <c r="B16" s="246" t="inlineStr">
        <is>
          <t xml:space="preserve">Temporary Change approaching expiry</t>
        </is>
      </c>
      <c r="C16" s="246" t="inlineStr">
        <is>
          <t xml:space="preserve">Change Requester (Field)
MOC Coordinator (Role)</t>
        </is>
      </c>
      <c r="D16" s="246" t="inlineStr">
        <is>
          <t xml:space="preserve">Notification schedule relative to Change Expiry (30 / 7 / 0 days) while Temporary Change = Yes</t>
        </is>
      </c>
      <c r="E16" s="246" t="inlineStr">
        <is>
          <t xml:space="preserve">MOC - Temporary change {#ChanDescription} expires on {#ChangeExpiry}</t>
        </is>
      </c>
      <c r="F16" s="246" t="inlineStr">
        <is>
          <t xml:space="preserve">The following temporary change is approaching its expiry date. Remove the temporary change or raise a permanent MOC before expiry:
Module: Management of Change
Location: {#Location}
Change Description: {#ChanDescription}
Change Expiry: {#ChangeExpiry}
Status : {#Workflow.Status}
--------------------------------------------------------
Please login to view full details of the report.</t>
        </is>
      </c>
      <c r="G16" s="251" t="inlineStr">
        <is>
          <t xml:space="preserve">A - new template (placeholders' system names to be confirmed by Intelex).</t>
        </is>
      </c>
    </row>
    <row r="17" ht="24.9" customHeight="1">
      <c r="A17" s="245" t="inlineStr">
        <is>
          <t xml:space="preserve">N13</t>
        </is>
      </c>
      <c r="B17" s="246" t="inlineStr">
        <is>
          <t xml:space="preserve">MOC - Task due / overdue</t>
        </is>
      </c>
      <c r="C17" s="246" t="inlineStr">
        <is>
          <t xml:space="preserve">Person Responsible
(escalation per Notification Schedules)</t>
        </is>
      </c>
      <c r="D17" s="246" t="inlineStr">
        <is>
          <t xml:space="preserve">Notification schedule on MOC Task due date</t>
        </is>
      </c>
      <c r="E17" s="246" t="inlineStr">
        <is>
          <t xml:space="preserve">MOC - {#SystemNameHelpe} Task due on {#DueDate}</t>
        </is>
      </c>
      <c r="F17" s="246" t="inlineStr">
        <is>
          <t xml:space="preserve">To: {#Workflow.PersonResponsible.Name}
The following MOC task is due or overdue. Please complete it in Intelex.
Module: Management of Change
Location: {#Location}
Task Description: {#TaskDescription}
Due Date: {#DueDate}
--------------------------------------------------------
Please login to view full details of the report.</t>
        </is>
      </c>
      <c r="G17" s="251" t="inlineStr">
        <is>
          <t xml:space="preserve">A - new template (placeholders' system names to be confirmed by Intelex).</t>
        </is>
      </c>
    </row>
    <row r="18" ht="24.9" customHeight="1">
      <c r="A18" s="245" t="inlineStr">
        <is>
          <t xml:space="preserve">N14</t>
        </is>
      </c>
      <c r="B18" s="246" t="inlineStr">
        <is>
          <t xml:space="preserve">MOC - Approval due / overdue</t>
        </is>
      </c>
      <c r="C18" s="246" t="inlineStr">
        <is>
          <t xml:space="preserve">Person Responsible
(escalation per Notification Schedules)</t>
        </is>
      </c>
      <c r="D18" s="246" t="inlineStr">
        <is>
          <t xml:space="preserve">Notification schedule on MOC Approval due date</t>
        </is>
      </c>
      <c r="E18" s="246" t="inlineStr">
        <is>
          <t xml:space="preserve">MOC - {#SystemNameHelpe} Approval due on {#DueDate}</t>
        </is>
      </c>
      <c r="F18" s="246" t="inlineStr">
        <is>
          <t xml:space="preserve">To: {#Workflow.PersonResponsible.Name}
The following MOC approval is due or overdue. Please review and approve or reject it in Intelex.
Module: Management of Change
Location: {#Location}
Approval Description: {#ApprovalDescription}
Due Date: {#DueDate}
--------------------------------------------------------
Please login to view full details of the report.</t>
        </is>
      </c>
      <c r="G18" s="251" t="inlineStr">
        <is>
          <t xml:space="preserve">A - new template (placeholders' system names to be confirmed by Intelex).</t>
        </is>
      </c>
    </row>
    <row r="19" x14ac:dyDescent="0.55000000000000004">
      <c r="A19" s="130" t="s">
        <v>76</v>
      </c>
      <c r="B19" s="44">
        <f>SUBTOTAL(103,Table4[Email Name])</f>
        <v>10</v>
      </c>
      <c r="C19" s="131"/>
      <c r="D19" s="131"/>
      <c r="E19" s="43"/>
      <c r="F19" s="131"/>
    </row>
    <row r="32" ht="21" customHeight="1" x14ac:dyDescent="0.55000000000000004"/>
  </sheetData>
  <hyperlinks>
    <hyperlink ref="A1" location="'Cover Sheet'!A1" display="Email Notification Templates" xr:uid="{00000000-0004-0000-0400-000000000000}"/>
  </hyperlink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F20"/>
  <sheetViews>
    <sheetView showGridLines="0" zoomScaleNormal="100" workbookViewId="0"/>
  </sheetViews>
  <sheetFormatPr defaultColWidth="27.1015625" defaultRowHeight="14.4" x14ac:dyDescent="0.55000000000000004"/>
  <cols>
    <col min="1" max="1" width="37.1015625" bestFit="1" customWidth="1"/>
    <col min="2" max="2" width="53.41796875" customWidth="1"/>
    <col min="3" max="3" width="19.5234375" bestFit="1" customWidth="1"/>
    <col min="4" max="4" width="30" bestFit="1" customWidth="1"/>
    <col min="5" max="5" width="48.89453125" bestFit="1" customWidth="1"/>
    <col min="6" max="6" width="55" customWidth="1"/>
  </cols>
  <sheetData>
    <row r="1" s="4" customFormat="1" ht="27" x14ac:dyDescent="0.85">
      <c r="A1" s="23" t="s">
        <v>18</v>
      </c>
      <c r="B1" s="23"/>
    </row>
    <row r="2" s="4" customFormat="1" x14ac:dyDescent="0.55000000000000004">
      <c r="A2" s="21" t="s">
        <v>21</v>
      </c>
    </row>
    <row r="3" s="4" customFormat="1" x14ac:dyDescent="0.55000000000000004">
      <c r="A3" s="21" t="s">
        <v>23</v>
      </c>
    </row>
    <row r="4" s="4" customFormat="1" x14ac:dyDescent="0.55000000000000004"/>
    <row r="5" s="29" customFormat="1" x14ac:dyDescent="0.55000000000000004">
      <c r="A5" s="9" t="s">
        <v>6</v>
      </c>
      <c r="B5" s="9" t="s">
        <v>19</v>
      </c>
      <c r="C5" s="9" t="s">
        <v>39</v>
      </c>
      <c r="D5" s="9" t="s">
        <v>7</v>
      </c>
      <c r="E5" s="9" t="s">
        <v>25</v>
      </c>
      <c r="F5" s="9" t="inlineStr">
        <is>
          <t xml:space="preserve">Impala Notes</t>
        </is>
      </c>
    </row>
    <row r="6" s="29" customFormat="1" x14ac:dyDescent="0.55000000000000004" ht="57.6" customHeight="1">
      <c r="A6" s="41" t="s">
        <v>176</v>
      </c>
      <c r="B6" s="250" t="inlineStr">
        <is>
          <t xml:space="preserve">Coordinates the MOC after Initiation: owner of all stages after Initiation, answers/assigns the checklist, creates ad hoc tasks and approvals. Typically terminal HSE lead [TBC].</t>
        </is>
      </c>
      <c r="C6" s="41" t="s">
        <v>90</v>
      </c>
      <c r="D6" s="41" t="s">
        <v>14</v>
      </c>
      <c r="E6" s="41" t="s">
        <v>38</v>
      </c>
      <c r="F6" s="250" t="inlineStr">
        <is>
          <t xml:space="preserve">M - description added. At least one per terminal (or at region level, rolled down) - otherwise MOCs cannot be created.</t>
        </is>
      </c>
    </row>
    <row r="7" s="29" customFormat="1" x14ac:dyDescent="0.55000000000000004" ht="28.8" customHeight="1">
      <c r="A7" s="250" t="inlineStr">
        <is>
          <t xml:space="preserve">Terminal Manager</t>
        </is>
      </c>
      <c r="B7" s="251" t="inlineStr">
        <is>
          <t xml:space="preserve">Local approver - first approval for every MOC (Minor, Moderate, Major). Escalation point for overdue tasks.</t>
        </is>
      </c>
      <c r="C7" s="250" t="inlineStr">
        <is>
          <t xml:space="preserve">Individual</t>
        </is>
      </c>
      <c r="D7" s="250" t="inlineStr">
        <is>
          <t xml:space="preserve">Y</t>
        </is>
      </c>
      <c r="E7" s="250" t="inlineStr">
        <is>
          <t xml:space="preserve">Workflow Task</t>
        </is>
      </c>
      <c r="F7" s="250" t="inlineStr">
        <is>
          <t xml:space="preserve">A - Local approval level.</t>
        </is>
      </c>
    </row>
    <row r="8" s="29" customFormat="1" x14ac:dyDescent="0.55000000000000004" ht="43.2" customHeight="1">
      <c r="A8" s="250" t="inlineStr">
        <is>
          <t xml:space="preserve">Terminal Functional Reviewer (Operations / Maintenance)</t>
        </is>
      </c>
      <c r="B8" s="251" t="inlineStr">
        <is>
          <t xml:space="preserve">Local functional review before the Terminal Manager sign-off, so no MOC is raised and approved by one person (21-Oct). Specialists (e.g. electrical) added ad hoc.</t>
        </is>
      </c>
      <c r="C8" s="250" t="inlineStr">
        <is>
          <t xml:space="preserve">Group</t>
        </is>
      </c>
      <c r="D8" s="250" t="inlineStr">
        <is>
          <t xml:space="preserve">N</t>
        </is>
      </c>
      <c r="E8" s="250" t="inlineStr">
        <is>
          <t xml:space="preserve">Workflow Task</t>
        </is>
      </c>
      <c r="F8" s="250" t="inlineStr">
        <is>
          <t xml:space="preserve">A - 21-Oct (Shaun, Khesar). Automatic local approval step [TBC with Intelex].</t>
        </is>
      </c>
    </row>
    <row r="9" x14ac:dyDescent="0.55000000000000004" ht="43.2" customHeight="1">
      <c r="A9" s="250" t="inlineStr">
        <is>
          <t xml:space="preserve">Regional HSEC Manager</t>
        </is>
      </c>
      <c r="B9" s="251" t="inlineStr">
        <is>
          <t xml:space="preserve">Regional approver for Moderate and Major changes. Notified of Emergency MOCs.</t>
        </is>
      </c>
      <c r="C9" s="250" t="inlineStr">
        <is>
          <t xml:space="preserve">Individual</t>
        </is>
      </c>
      <c r="D9" s="250" t="inlineStr">
        <is>
          <t xml:space="preserve">Y</t>
        </is>
      </c>
      <c r="E9" s="250" t="inlineStr">
        <is>
          <t xml:space="preserve">Workflow Task, Location-Based Notification</t>
        </is>
      </c>
      <c r="F9" s="250" t="inlineStr">
        <is>
          <t xml:space="preserve">A - Regional approval level. Local variations (e.g. a different approver for a region) handled by role assignment, not by workflow.</t>
        </is>
      </c>
    </row>
    <row r="10" ht="28.8" customHeight="1">
      <c r="A10" s="250" t="inlineStr">
        <is>
          <t xml:space="preserve">Regional Operations Manager</t>
        </is>
      </c>
      <c r="B10" s="251" t="inlineStr">
        <is>
          <t xml:space="preserve">Regional approver for Moderate and Major changes.</t>
        </is>
      </c>
      <c r="C10" s="250" t="inlineStr">
        <is>
          <t xml:space="preserve">Individual</t>
        </is>
      </c>
      <c r="D10" s="250" t="inlineStr">
        <is>
          <t xml:space="preserve">Y</t>
        </is>
      </c>
      <c r="E10" s="250" t="inlineStr">
        <is>
          <t xml:space="preserve">Workflow Task</t>
        </is>
      </c>
      <c r="F10" s="250" t="inlineStr">
        <is>
          <t xml:space="preserve">A - Regional approval level. BRD FR-B3-007: ROM / Country Operations Manager.</t>
        </is>
      </c>
    </row>
    <row r="11" x14ac:dyDescent="0.55000000000000004" ht="28.8" customHeight="1">
      <c r="A11" s="250" t="inlineStr">
        <is>
          <t xml:space="preserve">Global HSEC</t>
        </is>
      </c>
      <c r="B11" s="251" t="inlineStr">
        <is>
          <t xml:space="preserve">Global approver for Major changes.</t>
        </is>
      </c>
      <c r="C11" s="250" t="inlineStr">
        <is>
          <t xml:space="preserve">Individual</t>
        </is>
      </c>
      <c r="D11" s="250" t="inlineStr">
        <is>
          <t xml:space="preserve">Y</t>
        </is>
      </c>
      <c r="E11" s="250" t="inlineStr">
        <is>
          <t xml:space="preserve">Workflow Task</t>
        </is>
      </c>
      <c r="F11" s="250" t="inlineStr">
        <is>
          <t xml:space="preserve">A - Global approval level (assigned at top location). BRD FR-B3-007: Head of HSEQ.</t>
        </is>
      </c>
    </row>
    <row r="12" x14ac:dyDescent="0.55000000000000004" ht="28.8" customHeight="1">
      <c r="A12" s="250" t="inlineStr">
        <is>
          <t xml:space="preserve">Global Operations</t>
        </is>
      </c>
      <c r="B12" s="251" t="inlineStr">
        <is>
          <t xml:space="preserve">Global approver for Major changes.</t>
        </is>
      </c>
      <c r="C12" s="250" t="inlineStr">
        <is>
          <t xml:space="preserve">Individual</t>
        </is>
      </c>
      <c r="D12" s="250" t="inlineStr">
        <is>
          <t xml:space="preserve">Y</t>
        </is>
      </c>
      <c r="E12" s="250" t="inlineStr">
        <is>
          <t xml:space="preserve">Workflow Task</t>
        </is>
      </c>
      <c r="F12" s="250" t="inlineStr">
        <is>
          <t xml:space="preserve">A - Global approval level (assigned at top location). BRD FR-B3-007: COO.</t>
        </is>
      </c>
    </row>
    <row r="13" x14ac:dyDescent="0.55000000000000004">
      <c r="A13" s="1" t="s">
        <v>76</v>
      </c>
      <c r="B13" s="1"/>
      <c r="C13" s="53">
        <f>SUBTOTAL(103,Table5[Individual / Group])</f>
        <v>1</v>
      </c>
      <c r="D13" s="1"/>
      <c r="E13" s="1"/>
    </row>
    <row r="14" x14ac:dyDescent="0.55000000000000004">
      <c r="A14" s="3"/>
      <c r="B14" s="3"/>
      <c r="C14" s="3"/>
      <c r="D14" s="3"/>
      <c r="E14" s="1"/>
    </row>
    <row r="15" x14ac:dyDescent="0.55000000000000004">
      <c r="A15" s="3"/>
      <c r="B15" s="3"/>
      <c r="C15" s="3"/>
      <c r="D15" s="3"/>
      <c r="E15" s="3"/>
    </row>
    <row r="16" x14ac:dyDescent="0.55000000000000004">
      <c r="A16" s="3"/>
      <c r="B16" s="3"/>
      <c r="C16" s="3"/>
      <c r="D16" s="3"/>
      <c r="E16" s="3"/>
    </row>
    <row r="17" x14ac:dyDescent="0.55000000000000004">
      <c r="A17" s="3"/>
      <c r="B17" s="3"/>
      <c r="C17" s="3"/>
      <c r="D17" s="3"/>
      <c r="E17" s="3"/>
    </row>
    <row r="18" x14ac:dyDescent="0.55000000000000004">
      <c r="A18" s="3"/>
      <c r="B18" s="3"/>
      <c r="C18" s="3"/>
      <c r="D18" s="3"/>
      <c r="E18" s="3"/>
    </row>
    <row r="19" x14ac:dyDescent="0.55000000000000004">
      <c r="C19" s="3"/>
      <c r="D19" s="3"/>
      <c r="E19" s="3"/>
    </row>
    <row r="20" x14ac:dyDescent="0.55000000000000004">
      <c r="C20" s="3"/>
      <c r="D20" s="3"/>
      <c r="E20" s="3"/>
    </row>
  </sheetData>
  <dataValidations count="3">
    <dataValidation type="list" allowBlank="1" showInputMessage="1" showErrorMessage="1" sqref="C6:C9" xr:uid="{00000000-0002-0000-0500-000000000000}">
      <formula1>MembershipTypes</formula1>
    </dataValidation>
    <dataValidation type="list" allowBlank="1" showInputMessage="1" showErrorMessage="1" sqref="D6:D9" xr:uid="{00000000-0002-0000-0500-000001000000}">
      <formula1>YesNo</formula1>
    </dataValidation>
    <dataValidation type="list" allowBlank="1" showInputMessage="1" showErrorMessage="1" sqref="E6:E9" xr:uid="{00000000-0002-0000-0500-000002000000}">
      <formula1>RoleUses</formula1>
    </dataValidation>
  </dataValidations>
  <hyperlinks>
    <hyperlink ref="A1" location="'Cover Sheet'!A1" display="Location Role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N68"/>
  <sheetViews>
    <sheetView topLeftCell="A23" zoomScale="85" zoomScaleNormal="85" workbookViewId="0">
      <selection activeCell="L16" sqref="L16"/>
    </sheetView>
  </sheetViews>
  <sheetFormatPr defaultColWidth="9.1015625" defaultRowHeight="14.25" customHeight="1" x14ac:dyDescent="0.55000000000000004"/>
  <cols>
    <col min="1" max="1" width="34.5234375" style="4" customWidth="1"/>
    <col min="2" max="2" width="33.41796875" style="4" customWidth="1"/>
    <col min="3" max="3" width="13.41796875" style="4" customWidth="1"/>
    <col min="4" max="4" width="27.89453125" style="4" customWidth="1"/>
    <col min="5" max="5" width="13.41796875" style="4" bestFit="1" customWidth="1"/>
    <col min="6" max="6" width="13.5234375" style="4" customWidth="1"/>
    <col min="7" max="7" width="13.41796875" style="4" bestFit="1" customWidth="1"/>
    <col min="8" max="8" width="13" style="4" bestFit="1" customWidth="1"/>
    <col min="9" max="9" width="13.41796875" style="4" bestFit="1" customWidth="1"/>
    <col min="10" max="10" width="13.5234375" style="4" bestFit="1" customWidth="1"/>
    <col min="11" max="11" width="12" style="4" bestFit="1" customWidth="1"/>
    <col min="12" max="12" width="18.1015625" style="4" bestFit="1" customWidth="1"/>
    <col min="13" max="13" width="12.5234375" style="4" bestFit="1" customWidth="1"/>
    <col min="14" max="14" width="55" style="4" customWidth="1"/>
    <col min="15" max="16384" width="9.1015625" style="4"/>
  </cols>
  <sheetData>
    <row r="1" ht="33" customHeight="1" x14ac:dyDescent="0.85">
      <c r="A1" s="23" t="s">
        <v>17</v>
      </c>
      <c r="G1" s="23"/>
    </row>
    <row r="2" ht="14.25" customHeight="1" x14ac:dyDescent="0.55000000000000004">
      <c r="A2" s="60" t="s">
        <v>29</v>
      </c>
    </row>
    <row r="3" ht="14.25" customHeight="1" x14ac:dyDescent="0.55000000000000004">
      <c r="A3" s="8"/>
    </row>
    <row r="17" s="4" customFormat="1" ht="14.25" customHeight="1" x14ac:dyDescent="0.55000000000000004"/>
    <row r="18" s="4" customFormat="1" ht="14.25" customHeight="1" x14ac:dyDescent="0.55000000000000004"/>
    <row r="19" s="4" customFormat="1" ht="14.25" customHeight="1" x14ac:dyDescent="0.55000000000000004"/>
    <row r="20" s="4" customFormat="1" ht="14.25" customHeight="1" x14ac:dyDescent="0.55000000000000004"/>
    <row r="21" s="4" customFormat="1" ht="14.25" customHeight="1" x14ac:dyDescent="0.55000000000000004"/>
    <row r="22" s="4" customFormat="1" ht="14.25" customHeight="1" x14ac:dyDescent="0.55000000000000004"/>
    <row r="23" s="4" customFormat="1" ht="14.25" customHeight="1" x14ac:dyDescent="0.55000000000000004"/>
    <row r="24" s="4" customFormat="1" ht="14.25" customHeight="1" x14ac:dyDescent="0.55000000000000004"/>
    <row r="25" s="4" customFormat="1" ht="14.25" customHeight="1" x14ac:dyDescent="0.55000000000000004"/>
    <row r="26" s="4" customFormat="1" ht="14.25" customHeight="1" x14ac:dyDescent="0.55000000000000004"/>
    <row r="27" s="4" customFormat="1" ht="14.25" customHeight="1" x14ac:dyDescent="0.55000000000000004"/>
    <row r="28" s="4" customFormat="1" ht="14.25" customHeight="1" x14ac:dyDescent="0.55000000000000004"/>
    <row r="29" s="4" customFormat="1" ht="14.25" customHeight="1" x14ac:dyDescent="0.55000000000000004"/>
    <row r="30" s="4" customFormat="1" ht="14.25" customHeight="1" x14ac:dyDescent="0.55000000000000004"/>
    <row r="31" s="4" customFormat="1" ht="14.25" customHeight="1" x14ac:dyDescent="0.55000000000000004"/>
    <row r="32" s="4" customFormat="1" ht="14.25" customHeight="1" x14ac:dyDescent="0.55000000000000004"/>
    <row r="43" ht="14.25" customHeight="1" x14ac:dyDescent="0.55000000000000004">
      <c r="A43" s="9" t="s">
        <v>62</v>
      </c>
      <c r="B43" s="9" t="s">
        <v>94</v>
      </c>
      <c r="C43" s="9" t="s">
        <v>111</v>
      </c>
      <c r="D43" s="9" t="s">
        <v>112</v>
      </c>
      <c r="E43" s="9" t="s">
        <v>113</v>
      </c>
      <c r="F43" s="9" t="s">
        <v>114</v>
      </c>
      <c r="G43" s="9" t="s">
        <v>115</v>
      </c>
      <c r="H43" s="9" t="s">
        <v>116</v>
      </c>
      <c r="I43" s="12" t="s">
        <v>117</v>
      </c>
      <c r="J43" s="12" t="s">
        <v>118</v>
      </c>
      <c r="K43" s="12" t="s">
        <v>119</v>
      </c>
      <c r="L43" s="12" t="s">
        <v>120</v>
      </c>
      <c r="M43" s="12" t="s">
        <v>121</v>
      </c>
      <c r="N43" s="12" t="inlineStr">
        <is>
          <t xml:space="preserve">Impala Notes</t>
        </is>
      </c>
    </row>
    <row r="44" ht="14.25" customHeight="1" x14ac:dyDescent="0.55000000000000004">
      <c r="A44" s="51" t="s">
        <v>355</v>
      </c>
      <c r="B44" s="48" t="s">
        <v>91</v>
      </c>
      <c r="C44" s="38" t="s">
        <v>15</v>
      </c>
      <c r="D44" s="37" t="s">
        <v>252</v>
      </c>
      <c r="E44" s="38" t="s">
        <v>15</v>
      </c>
      <c r="F44" s="38" t="s">
        <v>15</v>
      </c>
      <c r="G44" s="38" t="s">
        <v>15</v>
      </c>
      <c r="H44" s="38" t="s">
        <v>15</v>
      </c>
      <c r="I44" s="38" t="s">
        <v>15</v>
      </c>
      <c r="J44" s="38" t="s">
        <v>15</v>
      </c>
      <c r="K44" s="38" t="s">
        <v>15</v>
      </c>
      <c r="L44" s="38" t="s">
        <v>15</v>
      </c>
      <c r="M44" s="38" t="s">
        <v>15</v>
      </c>
    </row>
    <row r="45" ht="14.25" customHeight="1" x14ac:dyDescent="0.55000000000000004">
      <c r="A45" s="41" t="s">
        <v>356</v>
      </c>
      <c r="B45" s="49" t="s">
        <v>91</v>
      </c>
      <c r="C45" s="38" t="s">
        <v>15</v>
      </c>
      <c r="D45" s="37" t="s">
        <v>252</v>
      </c>
      <c r="E45" s="38" t="s">
        <v>15</v>
      </c>
      <c r="F45" s="38" t="s">
        <v>15</v>
      </c>
      <c r="G45" s="38" t="s">
        <v>15</v>
      </c>
      <c r="H45" s="38" t="s">
        <v>15</v>
      </c>
      <c r="I45" s="38" t="s">
        <v>15</v>
      </c>
      <c r="J45" s="38" t="s">
        <v>15</v>
      </c>
      <c r="K45" s="38" t="s">
        <v>15</v>
      </c>
      <c r="L45" s="38" t="s">
        <v>15</v>
      </c>
      <c r="M45" s="38" t="s">
        <v>15</v>
      </c>
    </row>
    <row r="46" ht="14.25" customHeight="1" x14ac:dyDescent="0.55000000000000004">
      <c r="A46" s="51" t="s">
        <v>357</v>
      </c>
      <c r="B46" s="50" t="s">
        <v>91</v>
      </c>
      <c r="C46" s="38" t="s">
        <v>15</v>
      </c>
      <c r="D46" s="39" t="s">
        <v>252</v>
      </c>
      <c r="E46" s="38" t="s">
        <v>15</v>
      </c>
      <c r="F46" s="38" t="s">
        <v>15</v>
      </c>
      <c r="G46" s="38" t="s">
        <v>15</v>
      </c>
      <c r="H46" s="38" t="s">
        <v>15</v>
      </c>
      <c r="I46" s="38" t="s">
        <v>15</v>
      </c>
      <c r="J46" s="38" t="s">
        <v>15</v>
      </c>
      <c r="K46" s="38" t="s">
        <v>15</v>
      </c>
      <c r="L46" s="38" t="s">
        <v>15</v>
      </c>
      <c r="M46" s="38" t="s">
        <v>15</v>
      </c>
    </row>
    <row r="47" ht="14.25" customHeight="1" x14ac:dyDescent="0.55000000000000004">
      <c r="A47" s="41" t="s">
        <v>358</v>
      </c>
      <c r="B47" s="49" t="s">
        <v>91</v>
      </c>
      <c r="C47" s="38" t="s">
        <v>15</v>
      </c>
      <c r="D47" s="37" t="s">
        <v>260</v>
      </c>
      <c r="E47" s="38" t="s">
        <v>15</v>
      </c>
      <c r="F47" s="38" t="s">
        <v>15</v>
      </c>
      <c r="G47" s="38" t="s">
        <v>15</v>
      </c>
      <c r="H47" s="38" t="s">
        <v>15</v>
      </c>
      <c r="I47" s="38" t="s">
        <v>15</v>
      </c>
      <c r="J47" s="38" t="s">
        <v>15</v>
      </c>
      <c r="K47" s="38" t="s">
        <v>15</v>
      </c>
      <c r="L47" s="38" t="s">
        <v>15</v>
      </c>
      <c r="M47" s="38" t="s">
        <v>15</v>
      </c>
      <c r="N47" s="245" t="inlineStr">
        <is>
          <t xml:space="preserve">Keep as functional approval (21-Oct). See decision 'Approval types list'.</t>
        </is>
      </c>
    </row>
    <row r="48" ht="14.25" customHeight="1" x14ac:dyDescent="0.55000000000000004">
      <c r="A48" s="51" t="s">
        <v>359</v>
      </c>
      <c r="B48" s="50" t="s">
        <v>91</v>
      </c>
      <c r="C48" s="38" t="s">
        <v>15</v>
      </c>
      <c r="D48" s="39" t="s">
        <v>260</v>
      </c>
      <c r="E48" s="38" t="s">
        <v>15</v>
      </c>
      <c r="F48" s="38" t="s">
        <v>15</v>
      </c>
      <c r="G48" s="38" t="s">
        <v>15</v>
      </c>
      <c r="H48" s="38" t="s">
        <v>15</v>
      </c>
      <c r="I48" s="38" t="s">
        <v>15</v>
      </c>
      <c r="J48" s="38" t="s">
        <v>15</v>
      </c>
      <c r="K48" s="38" t="s">
        <v>15</v>
      </c>
      <c r="L48" s="38" t="s">
        <v>15</v>
      </c>
      <c r="M48" s="38" t="s">
        <v>15</v>
      </c>
      <c r="N48" s="245" t="inlineStr">
        <is>
          <t xml:space="preserve">Keep as functional approval (21-Oct).</t>
        </is>
      </c>
    </row>
    <row r="49" ht="14.25" customHeight="1" x14ac:dyDescent="0.55000000000000004">
      <c r="A49" s="148" t="s">
        <v>360</v>
      </c>
      <c r="B49" s="3" t="s">
        <v>91</v>
      </c>
      <c r="C49" s="38" t="s">
        <v>15</v>
      </c>
      <c r="D49" s="149" t="s">
        <v>260</v>
      </c>
      <c r="E49" s="38" t="s">
        <v>15</v>
      </c>
      <c r="F49" s="38" t="s">
        <v>15</v>
      </c>
      <c r="G49" s="38" t="s">
        <v>15</v>
      </c>
      <c r="H49" s="38" t="s">
        <v>15</v>
      </c>
      <c r="I49" s="38" t="s">
        <v>15</v>
      </c>
      <c r="J49" s="38" t="s">
        <v>15</v>
      </c>
      <c r="K49" s="38" t="s">
        <v>15</v>
      </c>
      <c r="L49" s="38" t="s">
        <v>15</v>
      </c>
      <c r="M49" s="38" t="s">
        <v>15</v>
      </c>
      <c r="N49" s="245" t="inlineStr">
        <is>
          <t xml:space="preserve">[TBC] re-use for a missing type (e.g. Operations / Maintenance / level approval) - Intelex to propose.</t>
        </is>
      </c>
    </row>
    <row r="50" ht="14.25" customHeight="1" x14ac:dyDescent="0.55000000000000004">
      <c r="A50" s="148" t="s">
        <v>361</v>
      </c>
      <c r="B50" s="3" t="s">
        <v>91</v>
      </c>
      <c r="C50" s="38" t="s">
        <v>15</v>
      </c>
      <c r="D50" s="149" t="s">
        <v>252</v>
      </c>
      <c r="E50" s="38" t="s">
        <v>15</v>
      </c>
      <c r="F50" s="38" t="s">
        <v>15</v>
      </c>
      <c r="G50" s="38" t="s">
        <v>15</v>
      </c>
      <c r="H50" s="38" t="s">
        <v>15</v>
      </c>
      <c r="I50" s="38" t="s">
        <v>15</v>
      </c>
      <c r="J50" s="38" t="s">
        <v>15</v>
      </c>
      <c r="K50" s="38" t="s">
        <v>15</v>
      </c>
      <c r="L50" s="38" t="s">
        <v>15</v>
      </c>
      <c r="M50" s="38" t="s">
        <v>15</v>
      </c>
    </row>
    <row r="51" ht="14.25" customHeight="1" x14ac:dyDescent="0.55000000000000004">
      <c r="A51" s="148" t="s">
        <v>251</v>
      </c>
      <c r="B51" s="3" t="s">
        <v>371</v>
      </c>
      <c r="C51" s="38" t="s">
        <v>15</v>
      </c>
      <c r="D51" s="149"/>
      <c r="E51" s="38" t="s">
        <v>15</v>
      </c>
      <c r="F51" s="38" t="s">
        <v>15</v>
      </c>
      <c r="G51" s="38" t="s">
        <v>15</v>
      </c>
      <c r="H51" s="38" t="s">
        <v>15</v>
      </c>
      <c r="I51" s="38" t="s">
        <v>15</v>
      </c>
      <c r="J51" s="38" t="s">
        <v>15</v>
      </c>
      <c r="K51" s="38" t="s">
        <v>15</v>
      </c>
      <c r="L51" s="38" t="s">
        <v>15</v>
      </c>
      <c r="M51" s="38" t="s">
        <v>15</v>
      </c>
      <c r="N51" s="245" t="inlineStr">
        <is>
          <t xml:space="preserve">M - add 1:M relation MOC &gt; Action Plan (actions arising, traceable to MOC No.) [Intelex to confirm]</t>
        </is>
      </c>
    </row>
    <row r="52" ht="14.25" customHeight="1" x14ac:dyDescent="0.55000000000000004">
      <c r="A52" s="148" t="s">
        <v>260</v>
      </c>
      <c r="B52" s="3" t="s">
        <v>371</v>
      </c>
      <c r="C52" s="38" t="s">
        <v>14</v>
      </c>
      <c r="D52" s="149"/>
      <c r="E52" s="38" t="s">
        <v>15</v>
      </c>
      <c r="F52" s="38" t="s">
        <v>15</v>
      </c>
      <c r="G52" s="38" t="s">
        <v>15</v>
      </c>
      <c r="H52" s="38" t="s">
        <v>15</v>
      </c>
      <c r="I52" s="38" t="s">
        <v>15</v>
      </c>
      <c r="J52" s="38" t="s">
        <v>15</v>
      </c>
      <c r="K52" s="38" t="s">
        <v>15</v>
      </c>
      <c r="L52" s="38" t="s">
        <v>15</v>
      </c>
      <c r="M52" s="38" t="s">
        <v>15</v>
      </c>
    </row>
    <row r="53" ht="14.25" customHeight="1" x14ac:dyDescent="0.55000000000000004">
      <c r="A53" s="148" t="s">
        <v>269</v>
      </c>
      <c r="B53" s="3" t="s">
        <v>91</v>
      </c>
      <c r="C53" s="38" t="s">
        <v>15</v>
      </c>
      <c r="D53" s="149"/>
      <c r="E53" s="38" t="s">
        <v>15</v>
      </c>
      <c r="F53" s="38" t="s">
        <v>15</v>
      </c>
      <c r="G53" s="38" t="s">
        <v>15</v>
      </c>
      <c r="H53" s="38" t="s">
        <v>15</v>
      </c>
      <c r="I53" s="38" t="s">
        <v>15</v>
      </c>
      <c r="J53" s="38" t="s">
        <v>15</v>
      </c>
      <c r="K53" s="38" t="s">
        <v>15</v>
      </c>
      <c r="L53" s="38" t="s">
        <v>15</v>
      </c>
      <c r="M53" s="38" t="s">
        <v>15</v>
      </c>
    </row>
    <row r="54" ht="14.25" customHeight="1" x14ac:dyDescent="0.55000000000000004">
      <c r="A54" s="148" t="s">
        <v>217</v>
      </c>
      <c r="B54" s="3" t="s">
        <v>91</v>
      </c>
      <c r="C54" s="38" t="s">
        <v>15</v>
      </c>
      <c r="D54" s="149"/>
      <c r="E54" s="38" t="s">
        <v>15</v>
      </c>
      <c r="F54" s="38" t="s">
        <v>15</v>
      </c>
      <c r="G54" s="38" t="s">
        <v>15</v>
      </c>
      <c r="H54" s="38" t="s">
        <v>15</v>
      </c>
      <c r="I54" s="38" t="s">
        <v>15</v>
      </c>
      <c r="J54" s="38" t="s">
        <v>15</v>
      </c>
      <c r="K54" s="38" t="s">
        <v>15</v>
      </c>
      <c r="L54" s="38" t="s">
        <v>15</v>
      </c>
      <c r="M54" s="38" t="s">
        <v>15</v>
      </c>
      <c r="N54" s="245" t="inlineStr">
        <is>
          <t xml:space="preserve">M - caption: 'Type of Change'. Data = 8 types (Lookup Values L08).</t>
        </is>
      </c>
    </row>
    <row r="55" ht="14.25" customHeight="1" x14ac:dyDescent="0.55000000000000004">
      <c r="A55" s="148" t="s">
        <v>250</v>
      </c>
      <c r="B55" s="3" t="s">
        <v>91</v>
      </c>
      <c r="C55" s="38" t="s">
        <v>15</v>
      </c>
      <c r="D55" s="149"/>
      <c r="E55" s="38" t="s">
        <v>15</v>
      </c>
      <c r="F55" s="38" t="s">
        <v>15</v>
      </c>
      <c r="G55" s="38" t="s">
        <v>15</v>
      </c>
      <c r="H55" s="38" t="s">
        <v>15</v>
      </c>
      <c r="I55" s="38" t="s">
        <v>15</v>
      </c>
      <c r="J55" s="38" t="s">
        <v>15</v>
      </c>
      <c r="K55" s="38" t="s">
        <v>15</v>
      </c>
      <c r="L55" s="38" t="s">
        <v>15</v>
      </c>
      <c r="M55" s="38" t="s">
        <v>15</v>
      </c>
    </row>
    <row r="56" ht="14.25" customHeight="1" x14ac:dyDescent="0.55000000000000004">
      <c r="A56" s="148" t="s">
        <v>267</v>
      </c>
      <c r="B56" s="3" t="s">
        <v>91</v>
      </c>
      <c r="C56" s="38" t="s">
        <v>15</v>
      </c>
      <c r="D56" s="149"/>
      <c r="E56" s="38" t="s">
        <v>15</v>
      </c>
      <c r="F56" s="38" t="s">
        <v>15</v>
      </c>
      <c r="G56" s="38" t="s">
        <v>15</v>
      </c>
      <c r="H56" s="38" t="s">
        <v>15</v>
      </c>
      <c r="I56" s="38" t="s">
        <v>15</v>
      </c>
      <c r="J56" s="38" t="s">
        <v>15</v>
      </c>
      <c r="K56" s="38" t="s">
        <v>15</v>
      </c>
      <c r="L56" s="38" t="s">
        <v>15</v>
      </c>
      <c r="M56" s="38" t="s">
        <v>15</v>
      </c>
    </row>
    <row r="57" ht="14.25" customHeight="1" x14ac:dyDescent="0.55000000000000004">
      <c r="A57" s="148" t="s">
        <v>252</v>
      </c>
      <c r="B57" s="3" t="s">
        <v>91</v>
      </c>
      <c r="C57" s="38" t="s">
        <v>14</v>
      </c>
      <c r="D57" s="149" t="s">
        <v>370</v>
      </c>
      <c r="E57" s="38" t="s">
        <v>15</v>
      </c>
      <c r="F57" s="38" t="s">
        <v>15</v>
      </c>
      <c r="G57" s="38" t="s">
        <v>15</v>
      </c>
      <c r="H57" s="38" t="s">
        <v>15</v>
      </c>
      <c r="I57" s="38" t="s">
        <v>15</v>
      </c>
      <c r="J57" s="38" t="s">
        <v>15</v>
      </c>
      <c r="K57" s="38" t="s">
        <v>15</v>
      </c>
      <c r="L57" s="38" t="s">
        <v>15</v>
      </c>
      <c r="M57" s="38" t="s">
        <v>15</v>
      </c>
    </row>
    <row r="58" ht="14.25" customHeight="1" x14ac:dyDescent="0.55000000000000004">
      <c r="A58" s="148" t="s">
        <v>268</v>
      </c>
      <c r="B58" s="3" t="s">
        <v>91</v>
      </c>
      <c r="C58" s="38" t="s">
        <v>15</v>
      </c>
      <c r="D58" s="149"/>
      <c r="E58" s="38" t="s">
        <v>15</v>
      </c>
      <c r="F58" s="38" t="s">
        <v>15</v>
      </c>
      <c r="G58" s="38" t="s">
        <v>15</v>
      </c>
      <c r="H58" s="38" t="s">
        <v>15</v>
      </c>
      <c r="I58" s="38" t="s">
        <v>15</v>
      </c>
      <c r="J58" s="38" t="s">
        <v>15</v>
      </c>
      <c r="K58" s="38" t="s">
        <v>15</v>
      </c>
      <c r="L58" s="38" t="s">
        <v>15</v>
      </c>
      <c r="M58" s="38" t="s">
        <v>15</v>
      </c>
    </row>
    <row r="59" ht="14.25" customHeight="1" x14ac:dyDescent="0.55000000000000004">
      <c r="A59" s="148" t="s">
        <v>335</v>
      </c>
      <c r="B59" s="3" t="s">
        <v>91</v>
      </c>
      <c r="C59" s="38" t="s">
        <v>15</v>
      </c>
      <c r="D59" s="149"/>
      <c r="E59" s="38" t="s">
        <v>15</v>
      </c>
      <c r="F59" s="38" t="s">
        <v>15</v>
      </c>
      <c r="G59" s="38" t="s">
        <v>15</v>
      </c>
      <c r="H59" s="38" t="s">
        <v>15</v>
      </c>
      <c r="I59" s="38" t="s">
        <v>15</v>
      </c>
      <c r="J59" s="38" t="s">
        <v>15</v>
      </c>
      <c r="K59" s="38" t="s">
        <v>15</v>
      </c>
      <c r="L59" s="38" t="s">
        <v>15</v>
      </c>
      <c r="M59" s="38" t="s">
        <v>15</v>
      </c>
    </row>
    <row r="60" ht="14.25" customHeight="1" x14ac:dyDescent="0.55000000000000004">
      <c r="A60" s="148" t="s">
        <v>362</v>
      </c>
      <c r="B60" s="3" t="s">
        <v>91</v>
      </c>
      <c r="C60" s="38" t="s">
        <v>15</v>
      </c>
      <c r="D60" s="149" t="s">
        <v>252</v>
      </c>
      <c r="E60" s="38" t="s">
        <v>15</v>
      </c>
      <c r="F60" s="38" t="s">
        <v>15</v>
      </c>
      <c r="G60" s="38" t="s">
        <v>15</v>
      </c>
      <c r="H60" s="38" t="s">
        <v>15</v>
      </c>
      <c r="I60" s="38" t="s">
        <v>15</v>
      </c>
      <c r="J60" s="38" t="s">
        <v>15</v>
      </c>
      <c r="K60" s="38" t="s">
        <v>15</v>
      </c>
      <c r="L60" s="38" t="s">
        <v>15</v>
      </c>
      <c r="M60" s="38" t="s">
        <v>15</v>
      </c>
    </row>
    <row r="61" ht="14.25" customHeight="1" x14ac:dyDescent="0.55000000000000004">
      <c r="A61" s="148" t="s">
        <v>363</v>
      </c>
      <c r="B61" s="3" t="s">
        <v>91</v>
      </c>
      <c r="C61" s="38" t="s">
        <v>15</v>
      </c>
      <c r="D61" s="149" t="s">
        <v>252</v>
      </c>
      <c r="E61" s="38" t="s">
        <v>15</v>
      </c>
      <c r="F61" s="38" t="s">
        <v>15</v>
      </c>
      <c r="G61" s="38" t="s">
        <v>15</v>
      </c>
      <c r="H61" s="38" t="s">
        <v>15</v>
      </c>
      <c r="I61" s="38" t="s">
        <v>15</v>
      </c>
      <c r="J61" s="38" t="s">
        <v>15</v>
      </c>
      <c r="K61" s="38" t="s">
        <v>15</v>
      </c>
      <c r="L61" s="38" t="s">
        <v>15</v>
      </c>
      <c r="M61" s="38" t="s">
        <v>15</v>
      </c>
    </row>
    <row r="62" ht="14.25" customHeight="1" x14ac:dyDescent="0.55000000000000004">
      <c r="A62" s="148" t="s">
        <v>364</v>
      </c>
      <c r="B62" s="3" t="s">
        <v>91</v>
      </c>
      <c r="C62" s="38" t="s">
        <v>15</v>
      </c>
      <c r="D62" s="149" t="s">
        <v>260</v>
      </c>
      <c r="E62" s="38" t="s">
        <v>15</v>
      </c>
      <c r="F62" s="38" t="s">
        <v>15</v>
      </c>
      <c r="G62" s="38" t="s">
        <v>15</v>
      </c>
      <c r="H62" s="38" t="s">
        <v>15</v>
      </c>
      <c r="I62" s="38" t="s">
        <v>15</v>
      </c>
      <c r="J62" s="38" t="s">
        <v>15</v>
      </c>
      <c r="K62" s="38" t="s">
        <v>15</v>
      </c>
      <c r="L62" s="38" t="s">
        <v>15</v>
      </c>
      <c r="M62" s="38" t="s">
        <v>15</v>
      </c>
      <c r="N62" s="245" t="inlineStr">
        <is>
          <t xml:space="preserve">[TBC] re-use for a missing type - Intelex to propose.</t>
        </is>
      </c>
    </row>
    <row r="63" ht="14.25" customHeight="1" x14ac:dyDescent="0.55000000000000004">
      <c r="A63" s="148" t="s">
        <v>365</v>
      </c>
      <c r="B63" s="3" t="s">
        <v>91</v>
      </c>
      <c r="C63" s="38" t="s">
        <v>15</v>
      </c>
      <c r="D63" s="149" t="s">
        <v>260</v>
      </c>
      <c r="E63" s="38" t="s">
        <v>15</v>
      </c>
      <c r="F63" s="38" t="s">
        <v>15</v>
      </c>
      <c r="G63" s="38" t="s">
        <v>15</v>
      </c>
      <c r="H63" s="38" t="s">
        <v>15</v>
      </c>
      <c r="I63" s="38" t="s">
        <v>15</v>
      </c>
      <c r="J63" s="38" t="s">
        <v>15</v>
      </c>
      <c r="K63" s="38" t="s">
        <v>15</v>
      </c>
      <c r="L63" s="38" t="s">
        <v>15</v>
      </c>
      <c r="M63" s="38" t="s">
        <v>15</v>
      </c>
      <c r="N63" s="245" t="inlineStr">
        <is>
          <t xml:space="preserve">Keep as functional approval (21-Oct).</t>
        </is>
      </c>
    </row>
    <row r="64" ht="14.25" customHeight="1" x14ac:dyDescent="0.55000000000000004">
      <c r="A64" s="148" t="s">
        <v>366</v>
      </c>
      <c r="B64" s="3" t="s">
        <v>91</v>
      </c>
      <c r="C64" s="38" t="s">
        <v>15</v>
      </c>
      <c r="D64" s="149" t="s">
        <v>260</v>
      </c>
      <c r="E64" s="38" t="s">
        <v>15</v>
      </c>
      <c r="F64" s="38" t="s">
        <v>15</v>
      </c>
      <c r="G64" s="38" t="s">
        <v>15</v>
      </c>
      <c r="H64" s="38" t="s">
        <v>15</v>
      </c>
      <c r="I64" s="38" t="s">
        <v>15</v>
      </c>
      <c r="J64" s="38" t="s">
        <v>15</v>
      </c>
      <c r="K64" s="38" t="s">
        <v>15</v>
      </c>
      <c r="L64" s="38" t="s">
        <v>15</v>
      </c>
      <c r="M64" s="38" t="s">
        <v>15</v>
      </c>
      <c r="N64" s="245" t="inlineStr">
        <is>
          <t xml:space="preserve">[TBC] re-use for a missing type - Intelex to propose.</t>
        </is>
      </c>
    </row>
    <row r="65" ht="14.25" customHeight="1" x14ac:dyDescent="0.55000000000000004">
      <c r="A65" s="148" t="s">
        <v>367</v>
      </c>
      <c r="B65" s="3" t="s">
        <v>91</v>
      </c>
      <c r="C65" s="38" t="s">
        <v>15</v>
      </c>
      <c r="D65" s="149"/>
      <c r="E65" s="38" t="s">
        <v>15</v>
      </c>
      <c r="F65" s="38" t="s">
        <v>15</v>
      </c>
      <c r="G65" s="38" t="s">
        <v>15</v>
      </c>
      <c r="H65" s="38" t="s">
        <v>15</v>
      </c>
      <c r="I65" s="38" t="s">
        <v>15</v>
      </c>
      <c r="J65" s="38" t="s">
        <v>15</v>
      </c>
      <c r="K65" s="38" t="s">
        <v>15</v>
      </c>
      <c r="L65" s="38" t="s">
        <v>15</v>
      </c>
      <c r="M65" s="38" t="s">
        <v>15</v>
      </c>
    </row>
    <row r="66" ht="14.25" customHeight="1" x14ac:dyDescent="0.55000000000000004">
      <c r="A66" s="148" t="s">
        <v>368</v>
      </c>
      <c r="B66" s="3" t="s">
        <v>91</v>
      </c>
      <c r="C66" s="38" t="s">
        <v>15</v>
      </c>
      <c r="D66" s="149" t="s">
        <v>252</v>
      </c>
      <c r="E66" s="38" t="s">
        <v>15</v>
      </c>
      <c r="F66" s="38" t="s">
        <v>15</v>
      </c>
      <c r="G66" s="38" t="s">
        <v>15</v>
      </c>
      <c r="H66" s="38" t="s">
        <v>15</v>
      </c>
      <c r="I66" s="38" t="s">
        <v>15</v>
      </c>
      <c r="J66" s="38" t="s">
        <v>15</v>
      </c>
      <c r="K66" s="38" t="s">
        <v>15</v>
      </c>
      <c r="L66" s="38" t="s">
        <v>15</v>
      </c>
      <c r="M66" s="38" t="s">
        <v>15</v>
      </c>
    </row>
    <row r="67" ht="14.25" customHeight="1" x14ac:dyDescent="0.55000000000000004">
      <c r="A67" s="148" t="s">
        <v>369</v>
      </c>
      <c r="B67" s="3" t="s">
        <v>91</v>
      </c>
      <c r="C67" s="38" t="s">
        <v>15</v>
      </c>
      <c r="D67" s="149"/>
      <c r="E67" s="38" t="s">
        <v>15</v>
      </c>
      <c r="F67" s="38" t="s">
        <v>15</v>
      </c>
      <c r="G67" s="38" t="s">
        <v>15</v>
      </c>
      <c r="H67" s="38" t="s">
        <v>15</v>
      </c>
      <c r="I67" s="38" t="s">
        <v>15</v>
      </c>
      <c r="J67" s="38" t="s">
        <v>15</v>
      </c>
      <c r="K67" s="38" t="s">
        <v>15</v>
      </c>
      <c r="L67" s="38" t="s">
        <v>15</v>
      </c>
      <c r="M67" s="38" t="s">
        <v>15</v>
      </c>
    </row>
    <row r="68" ht="14.25" customHeight="1" x14ac:dyDescent="0.55000000000000004">
      <c r="A68" s="130" t="s">
        <v>76</v>
      </c>
      <c r="B68" s="44">
        <f>SUBTOTAL(103,Table418[Location Bound])</f>
        <v>24</v>
      </c>
      <c r="C68" s="130"/>
      <c r="D68" s="130"/>
      <c r="E68" s="130"/>
      <c r="F68" s="130"/>
      <c r="G68" s="46"/>
      <c r="H68" s="130"/>
      <c r="I68" s="130"/>
      <c r="J68" s="130"/>
      <c r="K68" s="130"/>
      <c r="L68" s="130"/>
      <c r="M68" s="130"/>
    </row>
  </sheetData>
  <dataValidations count="2">
    <dataValidation type="list" allowBlank="1" showInputMessage="1" showErrorMessage="1" sqref="C44:C67 E44:M67" xr:uid="{00000000-0002-0000-0600-000000000000}">
      <formula1>YesNo</formula1>
    </dataValidation>
    <dataValidation type="list" allowBlank="1" showInputMessage="1" showErrorMessage="1" sqref="B44:B67" xr:uid="{00000000-0002-0000-0600-000001000000}">
      <formula1>LocationBoundOptions</formula1>
    </dataValidation>
  </dataValidations>
  <hyperlinks>
    <hyperlink ref="A1" location="'Cover Sheet'!A1" display="Object Model" xr:uid="{00000000-0004-0000-0600-000000000000}"/>
  </hyperlinks>
  <pageMargins left="0.7" right="0.7" top="0.75" bottom="0.75" header="0.3" footer="0.3"/>
  <drawing r:id="rId1"/>
  <legacyDrawing r:id="rId2"/>
  <oleObjects>
    <mc:AlternateContent xmlns:mc="http://schemas.openxmlformats.org/markup-compatibility/2006">
      <mc:Choice Requires="x14">
        <oleObject progId="Visio.Drawing.15" shapeId="3073" r:id="rId3">
          <objectPr defaultSize="0" autoPict="0" r:id="rId4">
            <anchor moveWithCells="1">
              <from>
                <xdr:col>0</xdr:col>
                <xdr:colOff>30480</xdr:colOff>
                <xdr:row>1</xdr:row>
                <xdr:rowOff>304800</xdr:rowOff>
              </from>
              <to>
                <xdr:col>7</xdr:col>
                <xdr:colOff>487680</xdr:colOff>
                <xdr:row>40</xdr:row>
                <xdr:rowOff>38100</xdr:rowOff>
              </to>
            </anchor>
          </objectPr>
        </oleObject>
      </mc:Choice>
      <mc:Fallback>
        <oleObject progId="Visio.Drawing.15" shapeId="3073" r:id="rId3"/>
      </mc:Fallback>
    </mc:AlternateContent>
  </oleObjects>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C354"/>
  <sheetViews>
    <sheetView showGridLines="0" topLeftCell="A10" zoomScale="55" zoomScaleNormal="55" workbookViewId="0">
      <selection activeCell="N7" sqref="N7"/>
    </sheetView>
  </sheetViews>
  <sheetFormatPr defaultColWidth="26.41796875" defaultRowHeight="14.4" x14ac:dyDescent="0.55000000000000004"/>
  <cols>
    <col min="1" max="1" width="2.89453125" style="64" customWidth="1"/>
    <col min="2" max="2" width="23.89453125" style="62" customWidth="1"/>
    <col min="3" max="3" width="31.68359375" style="62" bestFit="1" customWidth="1"/>
    <col min="4" max="4" width="36.68359375" style="62" bestFit="1" customWidth="1"/>
    <col min="5" max="5" width="29.68359375" style="62" bestFit="1" customWidth="1"/>
    <col min="6" max="6" width="25" style="62" customWidth="1"/>
    <col min="7" max="7" width="28.89453125" style="62" customWidth="1"/>
    <col min="8" max="8" width="13.68359375" style="62" customWidth="1"/>
    <col min="9" max="9" width="24" style="62" customWidth="1"/>
    <col min="10" max="10" width="23.5234375" style="62" customWidth="1"/>
    <col min="11" max="11" width="5.89453125" style="62" customWidth="1"/>
    <col min="12" max="26" width="6" style="62" bestFit="1" customWidth="1"/>
    <col min="27" max="27" width="60" style="62" customWidth="1"/>
    <col min="28" max="16384" width="26.41796875" style="62"/>
  </cols>
  <sheetData>
    <row r="1" s="59" customFormat="1" ht="27" x14ac:dyDescent="0.55000000000000004">
      <c r="A1" s="66" t="s">
        <v>372</v>
      </c>
      <c r="B1" s="58"/>
      <c r="E1" s="28"/>
    </row>
    <row r="2" s="59" customFormat="1" ht="23.1" x14ac:dyDescent="0.55000000000000004">
      <c r="A2" s="60" t="s">
        <v>50</v>
      </c>
      <c r="B2" s="61"/>
    </row>
    <row r="3" s="59" customFormat="1" ht="27" x14ac:dyDescent="0.95">
      <c r="A3" s="190" t="s">
        <v>251</v>
      </c>
      <c r="B3" s="191"/>
      <c r="C3" s="177"/>
      <c r="D3" s="177"/>
      <c r="E3" s="192"/>
      <c r="F3" s="177"/>
      <c r="G3" s="177"/>
      <c r="H3" s="193"/>
      <c r="I3" s="177"/>
      <c r="J3" s="177"/>
      <c r="K3" s="177"/>
      <c r="L3" s="177"/>
      <c r="M3" s="193"/>
      <c r="N3" s="177"/>
      <c r="O3" s="177"/>
      <c r="P3" s="177"/>
      <c r="Q3" s="177"/>
      <c r="R3" s="177"/>
      <c r="S3" s="177"/>
      <c r="T3"/>
      <c r="U3"/>
      <c r="V3"/>
      <c r="W3"/>
      <c r="X3"/>
      <c r="Y3"/>
      <c r="Z3" s="60"/>
      <c r="AA3" s="61"/>
    </row>
    <row r="4" s="59" customFormat="1" ht="147.9" x14ac:dyDescent="0.55000000000000004">
      <c r="A4" s="194" t="s">
        <v>37</v>
      </c>
      <c r="B4" s="194" t="s">
        <v>43</v>
      </c>
      <c r="C4" s="194" t="s">
        <v>44</v>
      </c>
      <c r="D4" s="194" t="s">
        <v>581</v>
      </c>
      <c r="E4" s="194" t="s">
        <v>552</v>
      </c>
      <c r="F4" s="194" t="s">
        <v>553</v>
      </c>
      <c r="G4" s="194" t="s">
        <v>19</v>
      </c>
      <c r="H4" s="194" t="s">
        <v>36</v>
      </c>
      <c r="I4" s="185" t="s">
        <v>554</v>
      </c>
      <c r="J4" s="194" t="s">
        <v>47</v>
      </c>
      <c r="K4" s="186" t="s">
        <v>101</v>
      </c>
      <c r="L4" s="186" t="s">
        <v>555</v>
      </c>
      <c r="M4" s="186" t="s">
        <v>579</v>
      </c>
      <c r="N4" s="186" t="s">
        <v>580</v>
      </c>
      <c r="O4" s="252" t="inlineStr">
        <is>
          <t xml:space="preserve">Mandatory in Evaluation, Design &amp; Analysis</t>
        </is>
      </c>
      <c r="P4" s="252" t="inlineStr">
        <is>
          <t xml:space="preserve">Read Only in Evaluation, Design &amp; Analysis</t>
        </is>
      </c>
      <c r="Q4" s="252" t="inlineStr">
        <is>
          <t xml:space="preserve">Mandatory in Approval</t>
        </is>
      </c>
      <c r="R4" s="252" t="inlineStr">
        <is>
          <t xml:space="preserve">Read Only in Approval</t>
        </is>
      </c>
      <c r="S4" s="252" t="inlineStr">
        <is>
          <t xml:space="preserve">Mandatory in Implementation</t>
        </is>
      </c>
      <c r="T4" s="252" t="inlineStr">
        <is>
          <t xml:space="preserve">Read Only in Implementation</t>
        </is>
      </c>
      <c r="U4" s="252" t="inlineStr">
        <is>
          <t xml:space="preserve">Mandatory in Start-Up</t>
        </is>
      </c>
      <c r="V4" s="252" t="inlineStr">
        <is>
          <t xml:space="preserve">Read Only in Start-Up</t>
        </is>
      </c>
      <c r="W4" s="252" t="inlineStr">
        <is>
          <t xml:space="preserve">Mandatory in Follow-Up</t>
        </is>
      </c>
      <c r="X4" s="252" t="inlineStr">
        <is>
          <t xml:space="preserve">Read Only in Follow-Up</t>
        </is>
      </c>
      <c r="Y4" s="252" t="inlineStr">
        <is>
          <t xml:space="preserve">Not used (stage removed) 1</t>
        </is>
      </c>
      <c r="Z4" s="252" t="inlineStr">
        <is>
          <t xml:space="preserve">Not used (stage removed) 2</t>
        </is>
      </c>
      <c r="AA4" s="186" t="inlineStr">
        <is>
          <t xml:space="preserve">Impala Notes</t>
        </is>
      </c>
      <c r="AB4" s="61"/>
    </row>
    <row r="5" s="59" customFormat="1" ht="216.0" x14ac:dyDescent="0.55000000000000004" customHeight="1">
      <c r="A5" s="188">
        <v>1</v>
      </c>
      <c r="B5" s="57" t="s">
        <v>198</v>
      </c>
      <c r="C5" s="57" t="s">
        <v>184</v>
      </c>
      <c r="D5" s="57" t="s">
        <v>184</v>
      </c>
      <c r="E5" s="196" t="s">
        <v>777</v>
      </c>
      <c r="F5" s="196" t="s">
        <v>777</v>
      </c>
      <c r="G5" s="187" t="s">
        <v>779</v>
      </c>
      <c r="H5" s="187" t="s">
        <v>51</v>
      </c>
      <c r="I5" s="187"/>
      <c r="J5" s="254" t="inlineStr">
        <is>
          <t xml:space="preserve">Value: Step 1. Select the Location and describe the change (what, why, technical basis, affected systems/people). Step 2. Select the Type of Change and the Grade of Change (Minor / Moderate / Major) using the guidance displayed for the selected type. Activities on the 'Automatic Major' list are always Major. Step 3. For temporary changes enter the Change Expiry date. Step 4. Submit.</t>
        </is>
      </c>
      <c r="K5" s="254" t="inlineStr">
        <is>
          <t xml:space="preserve">M</t>
        </is>
      </c>
      <c r="L5" s="187" t="s">
        <v>15</v>
      </c>
      <c r="M5" s="188" t="s">
        <v>15</v>
      </c>
      <c r="N5" s="188" t="s">
        <v>14</v>
      </c>
      <c r="O5" s="188" t="s">
        <v>15</v>
      </c>
      <c r="P5" s="188" t="s">
        <v>14</v>
      </c>
      <c r="Q5" s="188" t="s">
        <v>15</v>
      </c>
      <c r="R5" s="188" t="s">
        <v>14</v>
      </c>
      <c r="S5" s="188" t="s">
        <v>15</v>
      </c>
      <c r="T5" s="188" t="s">
        <v>14</v>
      </c>
      <c r="U5" s="188" t="s">
        <v>15</v>
      </c>
      <c r="V5" s="188" t="s">
        <v>14</v>
      </c>
      <c r="W5" s="188" t="s">
        <v>15</v>
      </c>
      <c r="X5" s="188" t="s">
        <v>14</v>
      </c>
      <c r="Y5" s="253"/>
      <c r="Z5" s="253"/>
      <c r="AA5" s="254" t="inlineStr">
        <is>
          <t xml:space="preserve">Instructions rewritten for Type x Grade classification.</t>
        </is>
      </c>
      <c r="AB5" s="61"/>
    </row>
    <row r="6" s="59" customFormat="1" ht="331.2" x14ac:dyDescent="0.55000000000000004" customHeight="1">
      <c r="A6" s="188">
        <v>2</v>
      </c>
      <c r="B6" s="57" t="s">
        <v>199</v>
      </c>
      <c r="C6" s="57" t="s">
        <v>184</v>
      </c>
      <c r="D6" s="57" t="s">
        <v>184</v>
      </c>
      <c r="E6" s="196" t="s">
        <v>777</v>
      </c>
      <c r="F6" s="196" t="s">
        <v>777</v>
      </c>
      <c r="G6" s="187" t="s">
        <v>779</v>
      </c>
      <c r="H6" s="187" t="s">
        <v>51</v>
      </c>
      <c r="I6" s="187"/>
      <c r="J6" s="187" t="s">
        <v>780</v>
      </c>
      <c r="K6" s="254" t="inlineStr">
        <is>
          <t xml:space="preserve">R</t>
        </is>
      </c>
      <c r="L6" s="187" t="s">
        <v>15</v>
      </c>
      <c r="M6" s="188" t="s">
        <v>15</v>
      </c>
      <c r="N6" s="188" t="s">
        <v>14</v>
      </c>
      <c r="O6" s="188" t="s">
        <v>15</v>
      </c>
      <c r="P6" s="188" t="s">
        <v>14</v>
      </c>
      <c r="Q6" s="188" t="s">
        <v>15</v>
      </c>
      <c r="R6" s="188" t="s">
        <v>14</v>
      </c>
      <c r="S6" s="188" t="s">
        <v>15</v>
      </c>
      <c r="T6" s="188" t="s">
        <v>14</v>
      </c>
      <c r="U6" s="188" t="s">
        <v>15</v>
      </c>
      <c r="V6" s="188" t="s">
        <v>14</v>
      </c>
      <c r="W6" s="188" t="s">
        <v>15</v>
      </c>
      <c r="X6" s="188" t="s">
        <v>14</v>
      </c>
      <c r="Y6" s="253"/>
      <c r="Z6" s="253"/>
      <c r="AA6" s="254" t="inlineStr">
        <is>
          <t xml:space="preserve">Pre-Approval stage removed.</t>
        </is>
      </c>
      <c r="AB6" s="61"/>
    </row>
    <row r="7" s="59" customFormat="1" ht="216.0" x14ac:dyDescent="0.55000000000000004" customHeight="1">
      <c r="A7" s="188">
        <v>3</v>
      </c>
      <c r="B7" s="255" t="inlineStr">
        <is>
          <t xml:space="preserve">Evaluation, Design &amp; Analysis</t>
        </is>
      </c>
      <c r="C7" s="57" t="s">
        <v>184</v>
      </c>
      <c r="D7" s="57" t="s">
        <v>184</v>
      </c>
      <c r="E7" s="196" t="s">
        <v>777</v>
      </c>
      <c r="F7" s="196" t="s">
        <v>777</v>
      </c>
      <c r="G7" s="187" t="s">
        <v>779</v>
      </c>
      <c r="H7" s="187" t="s">
        <v>51</v>
      </c>
      <c r="I7" s="187"/>
      <c r="J7" s="254" t="inlineStr">
        <is>
          <t xml:space="preserve">Value: Step 1. Answer all screening questions (checklist) generated for this MOC. Step 2. Create tasks for every item that requires action (Risk Assessment/HAZOP, Documentation, Training, PSSR...) and attach evidence. Step 3. Complete the Evaluation, Design &amp; Analysis details. Step 4. Submit to Approval when all screening questions are answered and all tasks of this stage are closed.</t>
        </is>
      </c>
      <c r="K7" s="254" t="inlineStr">
        <is>
          <t xml:space="preserve">M</t>
        </is>
      </c>
      <c r="L7" s="187" t="s">
        <v>15</v>
      </c>
      <c r="M7" s="188" t="s">
        <v>15</v>
      </c>
      <c r="N7" s="188" t="s">
        <v>14</v>
      </c>
      <c r="O7" s="188" t="s">
        <v>15</v>
      </c>
      <c r="P7" s="188" t="s">
        <v>14</v>
      </c>
      <c r="Q7" s="188" t="s">
        <v>15</v>
      </c>
      <c r="R7" s="188" t="s">
        <v>14</v>
      </c>
      <c r="S7" s="188" t="s">
        <v>15</v>
      </c>
      <c r="T7" s="188" t="s">
        <v>14</v>
      </c>
      <c r="U7" s="188" t="s">
        <v>15</v>
      </c>
      <c r="V7" s="188" t="s">
        <v>14</v>
      </c>
      <c r="W7" s="188" t="s">
        <v>15</v>
      </c>
      <c r="X7" s="188" t="s">
        <v>14</v>
      </c>
      <c r="Y7" s="253"/>
      <c r="Z7" s="253"/>
      <c r="AA7" s="254" t="inlineStr">
        <is>
          <t xml:space="preserve">Evaluation and Design &amp; Analysis merged into one stage.</t>
        </is>
      </c>
      <c r="AB7" s="61"/>
    </row>
    <row r="8" s="59" customFormat="1" ht="201.6" x14ac:dyDescent="0.55000000000000004" customHeight="1">
      <c r="A8" s="188">
        <v>4</v>
      </c>
      <c r="B8" s="255" t="inlineStr">
        <is>
          <t xml:space="preserve">Approval</t>
        </is>
      </c>
      <c r="C8" s="57" t="s">
        <v>184</v>
      </c>
      <c r="D8" s="57" t="s">
        <v>184</v>
      </c>
      <c r="E8" s="196" t="s">
        <v>777</v>
      </c>
      <c r="F8" s="196" t="s">
        <v>777</v>
      </c>
      <c r="G8" s="187" t="s">
        <v>779</v>
      </c>
      <c r="H8" s="187" t="s">
        <v>51</v>
      </c>
      <c r="I8" s="187"/>
      <c r="J8" s="254" t="inlineStr">
        <is>
          <t xml:space="preserve">Value: Step 1. Review the approvals generated for the Grade of Change (Minor: Terminal Manager; Moderate: + Regional HSEC and Operations; Major: + Global HSEC and Operations). Step 2. Add additional approvers if needed. Step 3. Approvals are requested in sequence Local &gt; Regional &gt; Global. Step 4. Submit to Implementation when all approvals are closed.</t>
        </is>
      </c>
      <c r="K8" s="254" t="inlineStr">
        <is>
          <t xml:space="preserve">M</t>
        </is>
      </c>
      <c r="L8" s="187" t="s">
        <v>15</v>
      </c>
      <c r="M8" s="188" t="s">
        <v>15</v>
      </c>
      <c r="N8" s="188" t="s">
        <v>14</v>
      </c>
      <c r="O8" s="188" t="s">
        <v>15</v>
      </c>
      <c r="P8" s="188" t="s">
        <v>14</v>
      </c>
      <c r="Q8" s="188" t="s">
        <v>15</v>
      </c>
      <c r="R8" s="188" t="s">
        <v>14</v>
      </c>
      <c r="S8" s="188" t="s">
        <v>15</v>
      </c>
      <c r="T8" s="188" t="s">
        <v>14</v>
      </c>
      <c r="U8" s="188" t="s">
        <v>15</v>
      </c>
      <c r="V8" s="188" t="s">
        <v>14</v>
      </c>
      <c r="W8" s="188" t="s">
        <v>15</v>
      </c>
      <c r="X8" s="188" t="s">
        <v>14</v>
      </c>
      <c r="Y8" s="253"/>
      <c r="Z8" s="253"/>
      <c r="AA8" s="254" t="inlineStr">
        <is>
          <t xml:space="preserve">Re-used as instructions of the new Approval stage.</t>
        </is>
      </c>
      <c r="AB8" s="61"/>
    </row>
    <row r="9" s="59" customFormat="1" ht="273.60000000000002" x14ac:dyDescent="0.55000000000000004">
      <c r="A9" s="188">
        <v>5</v>
      </c>
      <c r="B9" s="57" t="s">
        <v>202</v>
      </c>
      <c r="C9" s="57" t="s">
        <v>184</v>
      </c>
      <c r="D9" s="57" t="s">
        <v>184</v>
      </c>
      <c r="E9" s="196" t="s">
        <v>777</v>
      </c>
      <c r="F9" s="196" t="s">
        <v>777</v>
      </c>
      <c r="G9" s="187" t="s">
        <v>779</v>
      </c>
      <c r="H9" s="187" t="s">
        <v>51</v>
      </c>
      <c r="I9" s="187"/>
      <c r="J9" s="187" t="s">
        <v>783</v>
      </c>
      <c r="K9" s="187"/>
      <c r="L9" s="187" t="s">
        <v>15</v>
      </c>
      <c r="M9" s="188" t="s">
        <v>15</v>
      </c>
      <c r="N9" s="188" t="s">
        <v>14</v>
      </c>
      <c r="O9" s="188" t="s">
        <v>15</v>
      </c>
      <c r="P9" s="188" t="s">
        <v>14</v>
      </c>
      <c r="Q9" s="188" t="s">
        <v>15</v>
      </c>
      <c r="R9" s="188" t="s">
        <v>14</v>
      </c>
      <c r="S9" s="188" t="s">
        <v>15</v>
      </c>
      <c r="T9" s="188" t="s">
        <v>14</v>
      </c>
      <c r="U9" s="188" t="s">
        <v>15</v>
      </c>
      <c r="V9" s="188" t="s">
        <v>14</v>
      </c>
      <c r="W9" s="188" t="s">
        <v>15</v>
      </c>
      <c r="X9" s="188" t="s">
        <v>14</v>
      </c>
      <c r="Y9" s="253"/>
      <c r="Z9" s="253"/>
      <c r="AA9" s="60"/>
      <c r="AB9" s="61"/>
    </row>
    <row r="10" s="59" customFormat="1" ht="259.2" x14ac:dyDescent="0.55000000000000004">
      <c r="A10" s="188">
        <v>6</v>
      </c>
      <c r="B10" s="57" t="s">
        <v>203</v>
      </c>
      <c r="C10" s="57" t="s">
        <v>184</v>
      </c>
      <c r="D10" s="57" t="s">
        <v>184</v>
      </c>
      <c r="E10" s="196" t="s">
        <v>777</v>
      </c>
      <c r="F10" s="196" t="s">
        <v>777</v>
      </c>
      <c r="G10" s="187" t="s">
        <v>779</v>
      </c>
      <c r="H10" s="187" t="s">
        <v>51</v>
      </c>
      <c r="I10" s="187"/>
      <c r="J10" s="187" t="s">
        <v>784</v>
      </c>
      <c r="K10" s="187"/>
      <c r="L10" s="187" t="s">
        <v>15</v>
      </c>
      <c r="M10" s="188" t="s">
        <v>15</v>
      </c>
      <c r="N10" s="188" t="s">
        <v>14</v>
      </c>
      <c r="O10" s="188" t="s">
        <v>15</v>
      </c>
      <c r="P10" s="188" t="s">
        <v>14</v>
      </c>
      <c r="Q10" s="188" t="s">
        <v>15</v>
      </c>
      <c r="R10" s="188" t="s">
        <v>14</v>
      </c>
      <c r="S10" s="188" t="s">
        <v>15</v>
      </c>
      <c r="T10" s="188" t="s">
        <v>14</v>
      </c>
      <c r="U10" s="188" t="s">
        <v>15</v>
      </c>
      <c r="V10" s="188" t="s">
        <v>14</v>
      </c>
      <c r="W10" s="188" t="s">
        <v>15</v>
      </c>
      <c r="X10" s="188" t="s">
        <v>14</v>
      </c>
      <c r="Y10" s="253"/>
      <c r="Z10" s="253"/>
      <c r="AA10" s="60"/>
      <c r="AB10" s="61"/>
    </row>
    <row r="11" s="59" customFormat="1" ht="115.2" x14ac:dyDescent="0.55000000000000004">
      <c r="A11" s="188">
        <v>7</v>
      </c>
      <c r="B11" s="57" t="s">
        <v>204</v>
      </c>
      <c r="C11" s="57" t="s">
        <v>184</v>
      </c>
      <c r="D11" s="57" t="s">
        <v>184</v>
      </c>
      <c r="E11" s="196" t="s">
        <v>777</v>
      </c>
      <c r="F11" s="196" t="s">
        <v>777</v>
      </c>
      <c r="G11" s="187" t="s">
        <v>779</v>
      </c>
      <c r="H11" s="187" t="s">
        <v>51</v>
      </c>
      <c r="I11" s="187"/>
      <c r="J11" s="187" t="s">
        <v>785</v>
      </c>
      <c r="K11" s="187"/>
      <c r="L11" s="187" t="s">
        <v>15</v>
      </c>
      <c r="M11" s="188" t="s">
        <v>15</v>
      </c>
      <c r="N11" s="188" t="s">
        <v>14</v>
      </c>
      <c r="O11" s="188" t="s">
        <v>15</v>
      </c>
      <c r="P11" s="188" t="s">
        <v>14</v>
      </c>
      <c r="Q11" s="188" t="s">
        <v>15</v>
      </c>
      <c r="R11" s="188" t="s">
        <v>14</v>
      </c>
      <c r="S11" s="188" t="s">
        <v>15</v>
      </c>
      <c r="T11" s="188" t="s">
        <v>14</v>
      </c>
      <c r="U11" s="188" t="s">
        <v>15</v>
      </c>
      <c r="V11" s="188" t="s">
        <v>14</v>
      </c>
      <c r="W11" s="188" t="s">
        <v>15</v>
      </c>
      <c r="X11" s="188" t="s">
        <v>14</v>
      </c>
      <c r="Y11" s="253"/>
      <c r="Z11" s="253"/>
      <c r="AA11" s="60"/>
      <c r="AB11" s="61"/>
    </row>
    <row r="12" s="59" customFormat="1" ht="28.8" x14ac:dyDescent="0.55000000000000004">
      <c r="A12" s="188">
        <v>8</v>
      </c>
      <c r="B12" s="57" t="s">
        <v>198</v>
      </c>
      <c r="C12" s="57" t="s">
        <v>251</v>
      </c>
      <c r="D12" s="57" t="s">
        <v>578</v>
      </c>
      <c r="E12" s="196" t="s">
        <v>208</v>
      </c>
      <c r="F12" s="196" t="s">
        <v>208</v>
      </c>
      <c r="G12" s="187"/>
      <c r="H12" s="187" t="s">
        <v>169</v>
      </c>
      <c r="I12" s="187"/>
      <c r="J12" s="187" t="s">
        <v>558</v>
      </c>
      <c r="K12" s="187"/>
      <c r="L12" s="187" t="s">
        <v>14</v>
      </c>
      <c r="M12" s="188" t="s">
        <v>14</v>
      </c>
      <c r="N12" s="188" t="s">
        <v>15</v>
      </c>
      <c r="O12" s="188" t="s">
        <v>14</v>
      </c>
      <c r="P12" s="253" t="inlineStr">
        <is>
          <t xml:space="preserve">Y</t>
        </is>
      </c>
      <c r="Q12" s="253" t="inlineStr">
        <is>
          <t xml:space="preserve">N</t>
        </is>
      </c>
      <c r="R12" s="188" t="s">
        <v>14</v>
      </c>
      <c r="S12" s="188" t="s">
        <v>14</v>
      </c>
      <c r="T12" s="188" t="s">
        <v>14</v>
      </c>
      <c r="U12" s="188" t="s">
        <v>14</v>
      </c>
      <c r="V12" s="188" t="s">
        <v>14</v>
      </c>
      <c r="W12" s="188" t="s">
        <v>14</v>
      </c>
      <c r="X12" s="188" t="s">
        <v>14</v>
      </c>
      <c r="Y12" s="253"/>
      <c r="Z12" s="253"/>
      <c r="AA12" s="60"/>
      <c r="AB12" s="61"/>
    </row>
    <row r="13" s="59" customFormat="1" ht="43.2" x14ac:dyDescent="0.55000000000000004">
      <c r="A13" s="188">
        <v>9</v>
      </c>
      <c r="B13" s="57" t="s">
        <v>198</v>
      </c>
      <c r="C13" s="57" t="s">
        <v>251</v>
      </c>
      <c r="D13" s="57" t="s">
        <v>578</v>
      </c>
      <c r="E13" s="196" t="s">
        <v>209</v>
      </c>
      <c r="F13" s="196" t="s">
        <v>209</v>
      </c>
      <c r="G13" s="187"/>
      <c r="H13" s="187" t="s">
        <v>163</v>
      </c>
      <c r="I13" s="187" t="s">
        <v>693</v>
      </c>
      <c r="J13" s="187"/>
      <c r="K13" s="187"/>
      <c r="L13" s="187" t="s">
        <v>14</v>
      </c>
      <c r="M13" s="188" t="s">
        <v>15</v>
      </c>
      <c r="N13" s="188" t="s">
        <v>14</v>
      </c>
      <c r="O13" s="188" t="s">
        <v>15</v>
      </c>
      <c r="P13" s="188" t="s">
        <v>14</v>
      </c>
      <c r="Q13" s="188" t="s">
        <v>15</v>
      </c>
      <c r="R13" s="188" t="s">
        <v>14</v>
      </c>
      <c r="S13" s="188" t="s">
        <v>15</v>
      </c>
      <c r="T13" s="188" t="s">
        <v>14</v>
      </c>
      <c r="U13" s="188" t="s">
        <v>15</v>
      </c>
      <c r="V13" s="188" t="s">
        <v>14</v>
      </c>
      <c r="W13" s="188" t="s">
        <v>15</v>
      </c>
      <c r="X13" s="188" t="s">
        <v>14</v>
      </c>
      <c r="Y13" s="253"/>
      <c r="Z13" s="253"/>
      <c r="AA13" s="60"/>
      <c r="AB13" s="61"/>
    </row>
    <row r="14" s="59" customFormat="1" ht="201.6" x14ac:dyDescent="0.55000000000000004" customHeight="1">
      <c r="A14" s="188">
        <v>10</v>
      </c>
      <c r="B14" s="57" t="s">
        <v>198</v>
      </c>
      <c r="C14" s="57" t="s">
        <v>251</v>
      </c>
      <c r="D14" s="57" t="s">
        <v>578</v>
      </c>
      <c r="E14" s="196" t="s">
        <v>207</v>
      </c>
      <c r="F14" s="196" t="s">
        <v>207</v>
      </c>
      <c r="G14" s="187" t="s">
        <v>560</v>
      </c>
      <c r="H14" s="187" t="s">
        <v>51</v>
      </c>
      <c r="I14" s="187" t="s">
        <v>694</v>
      </c>
      <c r="J14" s="254" t="inlineStr">
        <is>
          <t xml:space="preserve">Max length: 255. Mandatory.</t>
        </is>
      </c>
      <c r="K14" s="254" t="inlineStr">
        <is>
          <t xml:space="preserve">M</t>
        </is>
      </c>
      <c r="L14" s="187" t="s">
        <v>14</v>
      </c>
      <c r="M14" s="253" t="inlineStr">
        <is>
          <t xml:space="preserve">Y</t>
        </is>
      </c>
      <c r="N14" s="188" t="s">
        <v>15</v>
      </c>
      <c r="O14" s="253" t="inlineStr">
        <is>
          <t xml:space="preserve">N</t>
        </is>
      </c>
      <c r="P14" s="253" t="inlineStr">
        <is>
          <t xml:space="preserve">Y</t>
        </is>
      </c>
      <c r="Q14" s="188" t="s">
        <v>15</v>
      </c>
      <c r="R14" s="188" t="s">
        <v>14</v>
      </c>
      <c r="S14" s="188" t="s">
        <v>15</v>
      </c>
      <c r="T14" s="188" t="s">
        <v>14</v>
      </c>
      <c r="U14" s="188" t="s">
        <v>15</v>
      </c>
      <c r="V14" s="188" t="s">
        <v>14</v>
      </c>
      <c r="W14" s="188" t="s">
        <v>15</v>
      </c>
      <c r="X14" s="188" t="s">
        <v>14</v>
      </c>
      <c r="Y14" s="253"/>
      <c r="Z14" s="253"/>
      <c r="AA14" s="256" t="inlineStr">
        <is>
          <t xml:space="preserve">Mandatory (already changed by Intelex in TEST on 19-Oct).</t>
        </is>
      </c>
      <c r="AB14" s="61"/>
    </row>
    <row r="15" s="59" customFormat="1" ht="144.0" x14ac:dyDescent="0.55000000000000004" customHeight="1">
      <c r="A15" s="188">
        <v>11</v>
      </c>
      <c r="B15" s="57" t="s">
        <v>198</v>
      </c>
      <c r="C15" s="57" t="s">
        <v>251</v>
      </c>
      <c r="D15" s="57" t="s">
        <v>578</v>
      </c>
      <c r="E15" s="196" t="s">
        <v>180</v>
      </c>
      <c r="F15" s="196" t="s">
        <v>180</v>
      </c>
      <c r="G15" s="187" t="s">
        <v>561</v>
      </c>
      <c r="H15" s="187" t="s">
        <v>108</v>
      </c>
      <c r="I15" s="187" t="s">
        <v>562</v>
      </c>
      <c r="J15" s="254" t="inlineStr">
        <is>
          <t xml:space="preserve">Default Value: Static Value: No. If Yes: Initiation &gt; Approval (skips Evaluation, Design &amp; Analysis).</t>
        </is>
      </c>
      <c r="K15" s="254" t="inlineStr">
        <is>
          <t xml:space="preserve">M</t>
        </is>
      </c>
      <c r="L15" s="187" t="s">
        <v>14</v>
      </c>
      <c r="M15" s="188" t="s">
        <v>14</v>
      </c>
      <c r="N15" s="188" t="s">
        <v>15</v>
      </c>
      <c r="O15" s="253" t="inlineStr">
        <is>
          <t xml:space="preserve">N</t>
        </is>
      </c>
      <c r="P15" s="253" t="inlineStr">
        <is>
          <t xml:space="preserve">Y</t>
        </is>
      </c>
      <c r="Q15" s="188" t="s">
        <v>15</v>
      </c>
      <c r="R15" s="188" t="s">
        <v>14</v>
      </c>
      <c r="S15" s="188" t="s">
        <v>15</v>
      </c>
      <c r="T15" s="188" t="s">
        <v>14</v>
      </c>
      <c r="U15" s="188" t="s">
        <v>15</v>
      </c>
      <c r="V15" s="188" t="s">
        <v>14</v>
      </c>
      <c r="W15" s="188" t="s">
        <v>15</v>
      </c>
      <c r="X15" s="188" t="s">
        <v>14</v>
      </c>
      <c r="Y15" s="253"/>
      <c r="Z15" s="253"/>
      <c r="AA15" s="256" t="inlineStr">
        <is>
          <t xml:space="preserve">Emergency path now goes straight to Approval. Emergency Justification field added (new fields block).</t>
        </is>
      </c>
      <c r="AB15" s="61"/>
    </row>
    <row r="16" s="59" customFormat="1" ht="172.8" x14ac:dyDescent="0.55000000000000004" customHeight="1">
      <c r="A16" s="188">
        <v>12</v>
      </c>
      <c r="B16" s="57" t="s">
        <v>198</v>
      </c>
      <c r="C16" s="57" t="s">
        <v>251</v>
      </c>
      <c r="D16" s="57" t="s">
        <v>578</v>
      </c>
      <c r="E16" s="196" t="s">
        <v>181</v>
      </c>
      <c r="F16" s="196" t="s">
        <v>399</v>
      </c>
      <c r="G16" s="187" t="s">
        <v>563</v>
      </c>
      <c r="H16" s="187" t="s">
        <v>108</v>
      </c>
      <c r="I16" s="187" t="s">
        <v>564</v>
      </c>
      <c r="J16" s="254" t="inlineStr">
        <is>
          <t xml:space="preserve">[TBC] Remove, or re-caption as 'Simplified MOC?' re-using the OOTB skip path (organisational / IT changes).</t>
        </is>
      </c>
      <c r="K16" s="254" t="inlineStr">
        <is>
          <t xml:space="preserve">M</t>
        </is>
      </c>
      <c r="L16" s="187" t="s">
        <v>14</v>
      </c>
      <c r="M16" s="188" t="s">
        <v>14</v>
      </c>
      <c r="N16" s="188" t="s">
        <v>15</v>
      </c>
      <c r="O16" s="253" t="inlineStr">
        <is>
          <t xml:space="preserve">N</t>
        </is>
      </c>
      <c r="P16" s="253" t="inlineStr">
        <is>
          <t xml:space="preserve">Y</t>
        </is>
      </c>
      <c r="Q16" s="188" t="s">
        <v>15</v>
      </c>
      <c r="R16" s="188" t="s">
        <v>14</v>
      </c>
      <c r="S16" s="188" t="s">
        <v>15</v>
      </c>
      <c r="T16" s="188" t="s">
        <v>14</v>
      </c>
      <c r="U16" s="188" t="s">
        <v>15</v>
      </c>
      <c r="V16" s="188" t="s">
        <v>14</v>
      </c>
      <c r="W16" s="188" t="s">
        <v>15</v>
      </c>
      <c r="X16" s="188" t="s">
        <v>14</v>
      </c>
      <c r="Y16" s="253"/>
      <c r="Z16" s="253"/>
      <c r="AA16" s="256" t="inlineStr">
        <is>
          <t xml:space="preserve">ON HOLD: like-for-like is out of MoC scope, but the field/path may become the simplified-MOC switch (decision 21-Oct).</t>
        </is>
      </c>
      <c r="AB16" s="61"/>
    </row>
    <row r="17" s="59" customFormat="1" ht="115.2" x14ac:dyDescent="0.55000000000000004">
      <c r="A17" s="188">
        <v>13</v>
      </c>
      <c r="B17" s="57" t="s">
        <v>198</v>
      </c>
      <c r="C17" s="57" t="s">
        <v>251</v>
      </c>
      <c r="D17" s="57" t="s">
        <v>578</v>
      </c>
      <c r="E17" s="196" t="s">
        <v>182</v>
      </c>
      <c r="F17" s="196" t="s">
        <v>182</v>
      </c>
      <c r="G17" s="187" t="s">
        <v>566</v>
      </c>
      <c r="H17" s="187" t="s">
        <v>108</v>
      </c>
      <c r="I17" s="187" t="s">
        <v>567</v>
      </c>
      <c r="J17" s="187" t="s">
        <v>565</v>
      </c>
      <c r="K17" s="187"/>
      <c r="L17" s="187" t="s">
        <v>14</v>
      </c>
      <c r="M17" s="188" t="s">
        <v>14</v>
      </c>
      <c r="N17" s="188" t="s">
        <v>15</v>
      </c>
      <c r="O17" s="253" t="inlineStr">
        <is>
          <t xml:space="preserve">N</t>
        </is>
      </c>
      <c r="P17" s="253" t="inlineStr">
        <is>
          <t xml:space="preserve">Y</t>
        </is>
      </c>
      <c r="Q17" s="188" t="s">
        <v>15</v>
      </c>
      <c r="R17" s="188" t="s">
        <v>14</v>
      </c>
      <c r="S17" s="188" t="s">
        <v>15</v>
      </c>
      <c r="T17" s="188" t="s">
        <v>14</v>
      </c>
      <c r="U17" s="188" t="s">
        <v>15</v>
      </c>
      <c r="V17" s="188" t="s">
        <v>14</v>
      </c>
      <c r="W17" s="188" t="s">
        <v>15</v>
      </c>
      <c r="X17" s="188" t="s">
        <v>14</v>
      </c>
      <c r="Y17" s="253"/>
      <c r="Z17" s="253"/>
      <c r="AA17" s="60"/>
      <c r="AB17" s="61"/>
    </row>
    <row r="18" s="59" customFormat="1" ht="86.4" x14ac:dyDescent="0.55000000000000004" customHeight="1">
      <c r="A18" s="188">
        <v>14</v>
      </c>
      <c r="B18" s="57" t="s">
        <v>198</v>
      </c>
      <c r="C18" s="57" t="s">
        <v>251</v>
      </c>
      <c r="D18" s="57" t="s">
        <v>578</v>
      </c>
      <c r="E18" s="196" t="s">
        <v>219</v>
      </c>
      <c r="F18" s="196" t="s">
        <v>219</v>
      </c>
      <c r="G18" s="187" t="s">
        <v>695</v>
      </c>
      <c r="H18" s="254" t="inlineStr">
        <is>
          <t xml:space="preserve">Date</t>
        </is>
      </c>
      <c r="I18" s="187" t="s">
        <v>696</v>
      </c>
      <c r="J18" s="254" t="inlineStr">
        <is>
          <t xml:space="preserve">Mandatory and visible only if Temporary Change = Yes. Max 180 days (AH02/AH03) [TBC vs Impala procedure].</t>
        </is>
      </c>
      <c r="K18" s="254" t="inlineStr">
        <is>
          <t xml:space="preserve">M</t>
        </is>
      </c>
      <c r="L18" s="187" t="s">
        <v>14</v>
      </c>
      <c r="M18" s="188" t="s">
        <v>14</v>
      </c>
      <c r="N18" s="188" t="s">
        <v>15</v>
      </c>
      <c r="O18" s="253" t="inlineStr">
        <is>
          <t xml:space="preserve">N</t>
        </is>
      </c>
      <c r="P18" s="253" t="inlineStr">
        <is>
          <t xml:space="preserve">Y</t>
        </is>
      </c>
      <c r="Q18" s="188" t="s">
        <v>15</v>
      </c>
      <c r="R18" s="188" t="s">
        <v>14</v>
      </c>
      <c r="S18" s="188" t="s">
        <v>15</v>
      </c>
      <c r="T18" s="188" t="s">
        <v>14</v>
      </c>
      <c r="U18" s="188" t="s">
        <v>15</v>
      </c>
      <c r="V18" s="188" t="s">
        <v>14</v>
      </c>
      <c r="W18" s="188" t="s">
        <v>15</v>
      </c>
      <c r="X18" s="188" t="s">
        <v>14</v>
      </c>
      <c r="Y18" s="253"/>
      <c r="Z18" s="253"/>
      <c r="AA18" s="256" t="inlineStr">
        <is>
          <t xml:space="preserve">Type must be Date (baseline shows 'None').</t>
        </is>
      </c>
      <c r="AB18" s="61"/>
    </row>
    <row r="19" s="59" customFormat="1" ht="144.0" x14ac:dyDescent="0.55000000000000004" customHeight="1">
      <c r="A19" s="188">
        <v>15</v>
      </c>
      <c r="B19" s="57" t="s">
        <v>198</v>
      </c>
      <c r="C19" s="57" t="s">
        <v>251</v>
      </c>
      <c r="D19" s="57" t="s">
        <v>578</v>
      </c>
      <c r="E19" s="257" t="inlineStr">
        <is>
          <t xml:space="preserve">Grade of Change</t>
        </is>
      </c>
      <c r="F19" s="257" t="inlineStr">
        <is>
          <t xml:space="preserve">Grade of Change</t>
        </is>
      </c>
      <c r="G19" s="187"/>
      <c r="H19" s="187" t="s">
        <v>58</v>
      </c>
      <c r="I19" s="254" t="inlineStr">
        <is>
          <t xml:space="preserve">Tooltip: Select Minor, Moderate or Major using the descriptors shown for the selected Type of Change. Minor = Local approval (Terminal Manager); Moderate = Regional approval (HSEC + Operations); Major = Global approval (HSEC + Operations).</t>
        </is>
      </c>
      <c r="J19" s="254" t="inlineStr">
        <is>
          <t xml:space="preserve">Lookup: L04 - Grade of Change (Minor / Moderate / Major). Mandatory. Drives auto-generated approvals, tasks and screening questions (Change Impacts parameter of the setups).</t>
        </is>
      </c>
      <c r="K19" s="254" t="inlineStr">
        <is>
          <t xml:space="preserve">M</t>
        </is>
      </c>
      <c r="L19" s="187" t="s">
        <v>14</v>
      </c>
      <c r="M19" s="188" t="s">
        <v>14</v>
      </c>
      <c r="N19" s="188" t="s">
        <v>15</v>
      </c>
      <c r="O19" s="253" t="inlineStr">
        <is>
          <t xml:space="preserve">N</t>
        </is>
      </c>
      <c r="P19" s="253" t="inlineStr">
        <is>
          <t xml:space="preserve">Y</t>
        </is>
      </c>
      <c r="Q19" s="188" t="s">
        <v>15</v>
      </c>
      <c r="R19" s="188" t="s">
        <v>14</v>
      </c>
      <c r="S19" s="188" t="s">
        <v>15</v>
      </c>
      <c r="T19" s="188" t="s">
        <v>14</v>
      </c>
      <c r="U19" s="188" t="s">
        <v>15</v>
      </c>
      <c r="V19" s="188" t="s">
        <v>14</v>
      </c>
      <c r="W19" s="188" t="s">
        <v>15</v>
      </c>
      <c r="X19" s="188" t="s">
        <v>14</v>
      </c>
      <c r="Y19" s="253"/>
      <c r="Z19" s="253"/>
      <c r="AA19" s="256" t="inlineStr">
        <is>
          <t xml:space="preserve">Replaces Level 1-5 scoring (pending Global HSE sign-off).</t>
        </is>
      </c>
      <c r="AB19" s="61"/>
    </row>
    <row r="20" s="59" customFormat="1" ht="43.2" x14ac:dyDescent="0.55000000000000004" customHeight="1">
      <c r="A20" s="188">
        <v>16</v>
      </c>
      <c r="B20" s="57" t="s">
        <v>198</v>
      </c>
      <c r="C20" s="57" t="s">
        <v>251</v>
      </c>
      <c r="D20" s="57" t="s">
        <v>578</v>
      </c>
      <c r="E20" s="196" t="s">
        <v>214</v>
      </c>
      <c r="F20" s="196" t="s">
        <v>214</v>
      </c>
      <c r="G20" s="187" t="s">
        <v>570</v>
      </c>
      <c r="H20" s="187" t="s">
        <v>58</v>
      </c>
      <c r="I20" s="187"/>
      <c r="J20" s="187" t="s">
        <v>699</v>
      </c>
      <c r="K20" s="254" t="inlineStr">
        <is>
          <t xml:space="preserve">R</t>
        </is>
      </c>
      <c r="L20" s="187" t="s">
        <v>14</v>
      </c>
      <c r="M20" s="188" t="s">
        <v>15</v>
      </c>
      <c r="N20" s="188" t="s">
        <v>15</v>
      </c>
      <c r="O20" s="188" t="s">
        <v>15</v>
      </c>
      <c r="P20" s="253" t="inlineStr">
        <is>
          <t xml:space="preserve">Y</t>
        </is>
      </c>
      <c r="Q20" s="188" t="s">
        <v>15</v>
      </c>
      <c r="R20" s="188" t="s">
        <v>14</v>
      </c>
      <c r="S20" s="188" t="s">
        <v>15</v>
      </c>
      <c r="T20" s="188" t="s">
        <v>14</v>
      </c>
      <c r="U20" s="188" t="s">
        <v>15</v>
      </c>
      <c r="V20" s="188" t="s">
        <v>14</v>
      </c>
      <c r="W20" s="188" t="s">
        <v>15</v>
      </c>
      <c r="X20" s="188" t="s">
        <v>14</v>
      </c>
      <c r="Y20" s="253"/>
      <c r="Z20" s="253"/>
      <c r="AA20" s="256" t="inlineStr">
        <is>
          <t xml:space="preserve">Not used: Grade of Change is the single criticality driver (Sam 21-Oct: not sure Priority drives anything).</t>
        </is>
      </c>
      <c r="AB20" s="61"/>
    </row>
    <row r="21" s="59" customFormat="1" ht="72.0" x14ac:dyDescent="0.55000000000000004" customHeight="1">
      <c r="A21" s="188">
        <v>17</v>
      </c>
      <c r="B21" s="57" t="s">
        <v>198</v>
      </c>
      <c r="C21" s="57" t="s">
        <v>251</v>
      </c>
      <c r="D21" s="57" t="s">
        <v>578</v>
      </c>
      <c r="E21" s="257" t="inlineStr">
        <is>
          <t xml:space="preserve">Reason for Change &amp; Technical Basis</t>
        </is>
      </c>
      <c r="F21" s="257" t="inlineStr">
        <is>
          <t xml:space="preserve">Reason for Change &amp; Technical Basis</t>
        </is>
      </c>
      <c r="G21" s="187" t="s">
        <v>568</v>
      </c>
      <c r="H21" s="187" t="s">
        <v>51</v>
      </c>
      <c r="I21" s="254" t="inlineStr">
        <is>
          <t xml:space="preserve">Tooltip: Why the change is needed, technical basis, scope, current situation and what approvers should look out for.</t>
        </is>
      </c>
      <c r="J21" s="254" t="inlineStr">
        <is>
          <t xml:space="preserve">Text (multi-line, no length limit). Mandatory.</t>
        </is>
      </c>
      <c r="K21" s="254" t="inlineStr">
        <is>
          <t xml:space="preserve">M</t>
        </is>
      </c>
      <c r="L21" s="187" t="s">
        <v>14</v>
      </c>
      <c r="M21" s="253" t="inlineStr">
        <is>
          <t xml:space="preserve">Y</t>
        </is>
      </c>
      <c r="N21" s="188" t="s">
        <v>15</v>
      </c>
      <c r="O21" s="188" t="s">
        <v>15</v>
      </c>
      <c r="P21" s="253" t="inlineStr">
        <is>
          <t xml:space="preserve">Y</t>
        </is>
      </c>
      <c r="Q21" s="188" t="s">
        <v>15</v>
      </c>
      <c r="R21" s="188" t="s">
        <v>14</v>
      </c>
      <c r="S21" s="188" t="s">
        <v>15</v>
      </c>
      <c r="T21" s="188" t="s">
        <v>14</v>
      </c>
      <c r="U21" s="188" t="s">
        <v>15</v>
      </c>
      <c r="V21" s="188" t="s">
        <v>14</v>
      </c>
      <c r="W21" s="188" t="s">
        <v>15</v>
      </c>
      <c r="X21" s="188" t="s">
        <v>14</v>
      </c>
      <c r="Y21" s="253"/>
      <c r="Z21" s="253"/>
      <c r="AA21" s="256" t="inlineStr">
        <is>
          <t xml:space="preserve">21-Oct (Khesar, agreed by Sam): Priority Explanation re-worded as reason / technical basis - gives approvers context. Covers BRD FR-B3-001.</t>
        </is>
      </c>
      <c r="AB21" s="61"/>
    </row>
    <row r="22" s="59" customFormat="1" ht="100.8" x14ac:dyDescent="0.55000000000000004" customHeight="1">
      <c r="A22" s="188">
        <v>18</v>
      </c>
      <c r="B22" s="57" t="s">
        <v>198</v>
      </c>
      <c r="C22" s="57" t="s">
        <v>251</v>
      </c>
      <c r="D22" s="57" t="s">
        <v>578</v>
      </c>
      <c r="E22" s="257" t="inlineStr">
        <is>
          <t xml:space="preserve">Type of Change</t>
        </is>
      </c>
      <c r="F22" s="257" t="inlineStr">
        <is>
          <t xml:space="preserve">Type of Change</t>
        </is>
      </c>
      <c r="G22" s="187"/>
      <c r="H22" s="187" t="s">
        <v>169</v>
      </c>
      <c r="I22" s="254" t="inlineStr">
        <is>
          <t xml:space="preserve">Tooltip: Select the type of change. The grade descriptors for the selected type are displayed below.</t>
        </is>
      </c>
      <c r="J22" s="254" t="inlineStr">
        <is>
          <t xml:space="preserve">M:1 relation to MOC Category object (caption 'Type of Change'). Mandatory. Values: Lookup Values L08. If several types apply select the one with the highest grade [TBC].</t>
        </is>
      </c>
      <c r="K22" s="254" t="inlineStr">
        <is>
          <t xml:space="preserve">M</t>
        </is>
      </c>
      <c r="L22" s="187" t="s">
        <v>14</v>
      </c>
      <c r="M22" s="187" t="s">
        <v>14</v>
      </c>
      <c r="N22" s="188" t="s">
        <v>15</v>
      </c>
      <c r="O22" s="254" t="inlineStr">
        <is>
          <t xml:space="preserve">N</t>
        </is>
      </c>
      <c r="P22" s="253" t="inlineStr">
        <is>
          <t xml:space="preserve">Y</t>
        </is>
      </c>
      <c r="Q22" s="188" t="s">
        <v>15</v>
      </c>
      <c r="R22" s="188" t="s">
        <v>14</v>
      </c>
      <c r="S22" s="188" t="s">
        <v>15</v>
      </c>
      <c r="T22" s="188" t="s">
        <v>14</v>
      </c>
      <c r="U22" s="188" t="s">
        <v>15</v>
      </c>
      <c r="V22" s="188" t="s">
        <v>14</v>
      </c>
      <c r="W22" s="188" t="s">
        <v>15</v>
      </c>
      <c r="X22" s="188" t="s">
        <v>14</v>
      </c>
      <c r="Y22" s="253"/>
      <c r="Z22" s="253"/>
      <c r="AA22" s="256" t="inlineStr">
        <is>
          <t xml:space="preserve">MOC Category used as Type of Change (8 types) - also filters setups.</t>
        </is>
      </c>
      <c r="AB22" s="61"/>
    </row>
    <row r="23" s="59" customFormat="1" ht="72" x14ac:dyDescent="0.55000000000000004">
      <c r="A23" s="188">
        <v>19</v>
      </c>
      <c r="B23" s="57" t="s">
        <v>198</v>
      </c>
      <c r="C23" s="57" t="s">
        <v>251</v>
      </c>
      <c r="D23" s="57" t="s">
        <v>578</v>
      </c>
      <c r="E23" s="196" t="s">
        <v>218</v>
      </c>
      <c r="F23" s="196" t="s">
        <v>218</v>
      </c>
      <c r="G23" s="187" t="s">
        <v>576</v>
      </c>
      <c r="H23" s="187" t="s">
        <v>52</v>
      </c>
      <c r="I23" s="187" t="s">
        <v>577</v>
      </c>
      <c r="J23" s="187" t="s">
        <v>590</v>
      </c>
      <c r="K23" s="187"/>
      <c r="L23" s="187" t="s">
        <v>14</v>
      </c>
      <c r="M23" s="187" t="s">
        <v>14</v>
      </c>
      <c r="N23" s="188" t="s">
        <v>15</v>
      </c>
      <c r="O23" s="254" t="inlineStr">
        <is>
          <t xml:space="preserve">N</t>
        </is>
      </c>
      <c r="P23" s="253" t="inlineStr">
        <is>
          <t xml:space="preserve">Y</t>
        </is>
      </c>
      <c r="Q23" s="188" t="s">
        <v>15</v>
      </c>
      <c r="R23" s="188" t="s">
        <v>14</v>
      </c>
      <c r="S23" s="188" t="s">
        <v>15</v>
      </c>
      <c r="T23" s="188" t="s">
        <v>14</v>
      </c>
      <c r="U23" s="188" t="s">
        <v>15</v>
      </c>
      <c r="V23" s="188" t="s">
        <v>14</v>
      </c>
      <c r="W23" s="188" t="s">
        <v>15</v>
      </c>
      <c r="X23" s="188" t="s">
        <v>14</v>
      </c>
      <c r="Y23" s="253"/>
      <c r="Z23" s="253"/>
      <c r="AA23" s="60"/>
      <c r="AB23" s="61"/>
    </row>
    <row r="24" s="59" customFormat="1" ht="57.6" x14ac:dyDescent="0.55000000000000004">
      <c r="A24" s="188">
        <v>20</v>
      </c>
      <c r="B24" s="57" t="s">
        <v>198</v>
      </c>
      <c r="C24" s="57" t="s">
        <v>251</v>
      </c>
      <c r="D24" s="57" t="s">
        <v>578</v>
      </c>
      <c r="E24" s="195" t="s">
        <v>220</v>
      </c>
      <c r="F24" s="195" t="s">
        <v>220</v>
      </c>
      <c r="G24" s="187" t="s">
        <v>573</v>
      </c>
      <c r="H24" s="187" t="s">
        <v>169</v>
      </c>
      <c r="I24" s="187" t="s">
        <v>574</v>
      </c>
      <c r="J24" s="187" t="s">
        <v>575</v>
      </c>
      <c r="K24" s="189"/>
      <c r="L24" s="189" t="s">
        <v>14</v>
      </c>
      <c r="M24" s="188" t="s">
        <v>15</v>
      </c>
      <c r="N24" s="188" t="s">
        <v>14</v>
      </c>
      <c r="O24" s="188" t="s">
        <v>15</v>
      </c>
      <c r="P24" s="188" t="s">
        <v>14</v>
      </c>
      <c r="Q24" s="188" t="s">
        <v>15</v>
      </c>
      <c r="R24" s="188" t="s">
        <v>14</v>
      </c>
      <c r="S24" s="188" t="s">
        <v>15</v>
      </c>
      <c r="T24" s="188" t="s">
        <v>14</v>
      </c>
      <c r="U24" s="188" t="s">
        <v>15</v>
      </c>
      <c r="V24" s="188" t="s">
        <v>14</v>
      </c>
      <c r="W24" s="188" t="s">
        <v>15</v>
      </c>
      <c r="X24" s="188" t="s">
        <v>14</v>
      </c>
      <c r="Y24" s="253"/>
      <c r="Z24" s="253"/>
      <c r="AA24" s="60"/>
      <c r="AB24" s="61"/>
    </row>
    <row r="25" s="59" customFormat="1" ht="14.4" x14ac:dyDescent="0.55000000000000004" customHeight="1">
      <c r="A25" s="188">
        <v>21</v>
      </c>
      <c r="B25" s="187" t="s">
        <v>199</v>
      </c>
      <c r="C25" s="57" t="s">
        <v>251</v>
      </c>
      <c r="D25" s="187" t="s">
        <v>582</v>
      </c>
      <c r="E25" s="195" t="s">
        <v>47</v>
      </c>
      <c r="F25" s="195" t="s">
        <v>47</v>
      </c>
      <c r="G25" s="187" t="s">
        <v>583</v>
      </c>
      <c r="H25" s="187" t="s">
        <v>51</v>
      </c>
      <c r="I25" s="187"/>
      <c r="J25" s="189"/>
      <c r="K25" s="258" t="inlineStr">
        <is>
          <t xml:space="preserve">R</t>
        </is>
      </c>
      <c r="L25" s="189" t="s">
        <v>14</v>
      </c>
      <c r="M25" s="188" t="s">
        <v>15</v>
      </c>
      <c r="N25" s="188" t="s">
        <v>15</v>
      </c>
      <c r="O25" s="188" t="s">
        <v>15</v>
      </c>
      <c r="P25" s="253" t="inlineStr">
        <is>
          <t xml:space="preserve">Y</t>
        </is>
      </c>
      <c r="Q25" s="188" t="s">
        <v>15</v>
      </c>
      <c r="R25" s="188" t="s">
        <v>14</v>
      </c>
      <c r="S25" s="188" t="s">
        <v>15</v>
      </c>
      <c r="T25" s="188" t="s">
        <v>14</v>
      </c>
      <c r="U25" s="188" t="s">
        <v>15</v>
      </c>
      <c r="V25" s="188" t="s">
        <v>14</v>
      </c>
      <c r="W25" s="188" t="s">
        <v>15</v>
      </c>
      <c r="X25" s="188" t="s">
        <v>14</v>
      </c>
      <c r="Y25" s="253"/>
      <c r="Z25" s="253"/>
      <c r="AA25" s="256" t="inlineStr">
        <is>
          <t xml:space="preserve">Pre-Approval stage removed.</t>
        </is>
      </c>
    </row>
    <row r="26" s="59" customFormat="1" ht="187.2" x14ac:dyDescent="0.55000000000000004" customHeight="1">
      <c r="A26" s="188">
        <v>22</v>
      </c>
      <c r="B26" s="187" t="s">
        <v>200</v>
      </c>
      <c r="C26" s="57" t="s">
        <v>251</v>
      </c>
      <c r="D26" s="195" t="s">
        <v>589</v>
      </c>
      <c r="E26" s="195" t="s">
        <v>224</v>
      </c>
      <c r="F26" s="195" t="s">
        <v>224</v>
      </c>
      <c r="G26" s="187" t="s">
        <v>591</v>
      </c>
      <c r="H26" s="187" t="s">
        <v>108</v>
      </c>
      <c r="I26" s="187" t="s">
        <v>592</v>
      </c>
      <c r="J26" s="189"/>
      <c r="K26" s="258" t="inlineStr">
        <is>
          <t xml:space="preserve">R</t>
        </is>
      </c>
      <c r="L26" s="189" t="s">
        <v>14</v>
      </c>
      <c r="M26" s="188" t="s">
        <v>15</v>
      </c>
      <c r="N26" s="188" t="s">
        <v>15</v>
      </c>
      <c r="O26" s="188" t="s">
        <v>15</v>
      </c>
      <c r="P26" s="188" t="s">
        <v>15</v>
      </c>
      <c r="Q26" s="188" t="s">
        <v>15</v>
      </c>
      <c r="R26" s="253" t="inlineStr">
        <is>
          <t xml:space="preserve">Y</t>
        </is>
      </c>
      <c r="S26" s="188" t="s">
        <v>15</v>
      </c>
      <c r="T26" s="188" t="s">
        <v>14</v>
      </c>
      <c r="U26" s="188" t="s">
        <v>15</v>
      </c>
      <c r="V26" s="188" t="s">
        <v>14</v>
      </c>
      <c r="W26" s="188" t="s">
        <v>15</v>
      </c>
      <c r="X26" s="188" t="s">
        <v>14</v>
      </c>
      <c r="Y26" s="253"/>
      <c r="Z26" s="253"/>
      <c r="AA26" s="256" t="inlineStr">
        <is>
          <t xml:space="preserve">CONFIRMED 21-Oct (Shaun: 'it's the point of the approval'). Approvals controlled in the Approval stage.</t>
        </is>
      </c>
    </row>
    <row r="27" s="59" customFormat="1" ht="28.8" x14ac:dyDescent="0.55000000000000004" customHeight="1">
      <c r="A27" s="188">
        <v>23</v>
      </c>
      <c r="B27" s="255" t="inlineStr">
        <is>
          <t xml:space="preserve">Evaluation, Design &amp; Analysis</t>
        </is>
      </c>
      <c r="C27" s="57" t="s">
        <v>251</v>
      </c>
      <c r="D27" s="195" t="s">
        <v>589</v>
      </c>
      <c r="E27" s="259" t="inlineStr">
        <is>
          <t xml:space="preserve">Evaluation, Design &amp; Analysis Notes</t>
        </is>
      </c>
      <c r="F27" s="259" t="inlineStr">
        <is>
          <t xml:space="preserve">Evaluation, Design &amp; Analysis Notes</t>
        </is>
      </c>
      <c r="G27" s="187" t="s">
        <v>593</v>
      </c>
      <c r="H27" s="187" t="s">
        <v>51</v>
      </c>
      <c r="I27" s="187"/>
      <c r="J27" s="189"/>
      <c r="K27" s="258" t="inlineStr">
        <is>
          <t xml:space="preserve">M</t>
        </is>
      </c>
      <c r="L27" s="189" t="s">
        <v>14</v>
      </c>
      <c r="M27" s="188" t="s">
        <v>15</v>
      </c>
      <c r="N27" s="188" t="s">
        <v>15</v>
      </c>
      <c r="O27" s="188" t="s">
        <v>15</v>
      </c>
      <c r="P27" s="188" t="s">
        <v>15</v>
      </c>
      <c r="Q27" s="188" t="s">
        <v>15</v>
      </c>
      <c r="R27" s="253" t="inlineStr">
        <is>
          <t xml:space="preserve">Y</t>
        </is>
      </c>
      <c r="S27" s="188" t="s">
        <v>15</v>
      </c>
      <c r="T27" s="188" t="s">
        <v>14</v>
      </c>
      <c r="U27" s="188" t="s">
        <v>15</v>
      </c>
      <c r="V27" s="188" t="s">
        <v>14</v>
      </c>
      <c r="W27" s="188" t="s">
        <v>15</v>
      </c>
      <c r="X27" s="188" t="s">
        <v>14</v>
      </c>
      <c r="Y27" s="253"/>
      <c r="Z27" s="253"/>
      <c r="AA27" s="256" t="inlineStr">
        <is>
          <t xml:space="preserve">Merged notes for the combined stage.</t>
        </is>
      </c>
    </row>
    <row r="28" s="59" customFormat="1" ht="115.2" x14ac:dyDescent="0.55000000000000004" customHeight="1">
      <c r="A28" s="188">
        <v>24</v>
      </c>
      <c r="B28" s="255" t="inlineStr">
        <is>
          <t xml:space="preserve">Evaluation, Design &amp; Analysis</t>
        </is>
      </c>
      <c r="C28" s="57" t="s">
        <v>251</v>
      </c>
      <c r="D28" s="57" t="s">
        <v>594</v>
      </c>
      <c r="E28" s="195" t="s">
        <v>227</v>
      </c>
      <c r="F28" s="195" t="s">
        <v>227</v>
      </c>
      <c r="G28" s="187" t="s">
        <v>595</v>
      </c>
      <c r="H28" s="187" t="s">
        <v>51</v>
      </c>
      <c r="I28" s="187" t="s">
        <v>596</v>
      </c>
      <c r="J28" s="187"/>
      <c r="K28" s="254" t="inlineStr">
        <is>
          <t xml:space="preserve">M</t>
        </is>
      </c>
      <c r="L28" s="189" t="s">
        <v>14</v>
      </c>
      <c r="M28" s="188" t="s">
        <v>15</v>
      </c>
      <c r="N28" s="188" t="s">
        <v>15</v>
      </c>
      <c r="O28" s="188" t="s">
        <v>15</v>
      </c>
      <c r="P28" s="188" t="s">
        <v>15</v>
      </c>
      <c r="Q28" s="188" t="s">
        <v>15</v>
      </c>
      <c r="R28" s="253" t="inlineStr">
        <is>
          <t xml:space="preserve">Y</t>
        </is>
      </c>
      <c r="S28" s="188" t="s">
        <v>15</v>
      </c>
      <c r="T28" s="253" t="inlineStr">
        <is>
          <t xml:space="preserve">Y</t>
        </is>
      </c>
      <c r="U28" s="188" t="s">
        <v>15</v>
      </c>
      <c r="V28" s="188" t="s">
        <v>14</v>
      </c>
      <c r="W28" s="188" t="s">
        <v>15</v>
      </c>
      <c r="X28" s="188" t="s">
        <v>14</v>
      </c>
      <c r="Y28" s="253"/>
      <c r="Z28" s="253"/>
      <c r="AA28" s="256" t="inlineStr">
        <is>
          <t xml:space="preserve">Moved to combined stage. 21-Oct: keep 'Alternatives Considered' (important).</t>
        </is>
      </c>
    </row>
    <row r="29" s="59" customFormat="1" ht="187.2" x14ac:dyDescent="0.55000000000000004" customHeight="1">
      <c r="A29" s="188">
        <v>25</v>
      </c>
      <c r="B29" s="255" t="inlineStr">
        <is>
          <t xml:space="preserve">Evaluation, Design &amp; Analysis</t>
        </is>
      </c>
      <c r="C29" s="57" t="s">
        <v>251</v>
      </c>
      <c r="D29" s="57" t="s">
        <v>594</v>
      </c>
      <c r="E29" s="195" t="s">
        <v>228</v>
      </c>
      <c r="F29" s="195" t="s">
        <v>228</v>
      </c>
      <c r="G29" s="187" t="s">
        <v>597</v>
      </c>
      <c r="H29" s="187" t="s">
        <v>108</v>
      </c>
      <c r="I29" s="187" t="s">
        <v>598</v>
      </c>
      <c r="J29" s="187"/>
      <c r="K29" s="254" t="inlineStr">
        <is>
          <t xml:space="preserve">M</t>
        </is>
      </c>
      <c r="L29" s="189" t="s">
        <v>14</v>
      </c>
      <c r="M29" s="188" t="s">
        <v>15</v>
      </c>
      <c r="N29" s="188" t="s">
        <v>15</v>
      </c>
      <c r="O29" s="188" t="s">
        <v>15</v>
      </c>
      <c r="P29" s="188" t="s">
        <v>15</v>
      </c>
      <c r="Q29" s="188" t="s">
        <v>15</v>
      </c>
      <c r="R29" s="253" t="inlineStr">
        <is>
          <t xml:space="preserve">Y</t>
        </is>
      </c>
      <c r="S29" s="188" t="s">
        <v>15</v>
      </c>
      <c r="T29" s="253" t="inlineStr">
        <is>
          <t xml:space="preserve">Y</t>
        </is>
      </c>
      <c r="U29" s="188" t="s">
        <v>15</v>
      </c>
      <c r="V29" s="188" t="s">
        <v>14</v>
      </c>
      <c r="W29" s="188" t="s">
        <v>15</v>
      </c>
      <c r="X29" s="188" t="s">
        <v>14</v>
      </c>
      <c r="Y29" s="253"/>
      <c r="Z29" s="253"/>
      <c r="AA29" s="256" t="inlineStr">
        <is>
          <t xml:space="preserve">Moved to combined stage.</t>
        </is>
      </c>
    </row>
    <row r="30" s="59" customFormat="1" ht="172.8" x14ac:dyDescent="0.55000000000000004" customHeight="1">
      <c r="A30" s="188">
        <v>26</v>
      </c>
      <c r="B30" s="260" t="inlineStr">
        <is>
          <t xml:space="preserve">Evaluation, Design &amp; Analysis</t>
        </is>
      </c>
      <c r="C30" s="57" t="s">
        <v>251</v>
      </c>
      <c r="D30" s="57" t="s">
        <v>594</v>
      </c>
      <c r="E30" s="198" t="s">
        <v>229</v>
      </c>
      <c r="F30" s="199" t="s">
        <v>229</v>
      </c>
      <c r="G30" s="201" t="s">
        <v>599</v>
      </c>
      <c r="H30" s="200" t="s">
        <v>108</v>
      </c>
      <c r="I30" s="187" t="s">
        <v>600</v>
      </c>
      <c r="J30" s="197"/>
      <c r="K30" s="261" t="inlineStr">
        <is>
          <t xml:space="preserve">M</t>
        </is>
      </c>
      <c r="L30" s="189" t="s">
        <v>14</v>
      </c>
      <c r="M30" s="188" t="s">
        <v>15</v>
      </c>
      <c r="N30" s="188" t="s">
        <v>15</v>
      </c>
      <c r="O30" s="188" t="s">
        <v>15</v>
      </c>
      <c r="P30" s="188" t="s">
        <v>15</v>
      </c>
      <c r="Q30" s="188" t="s">
        <v>15</v>
      </c>
      <c r="R30" s="253" t="inlineStr">
        <is>
          <t xml:space="preserve">Y</t>
        </is>
      </c>
      <c r="S30" s="188" t="s">
        <v>15</v>
      </c>
      <c r="T30" s="253" t="inlineStr">
        <is>
          <t xml:space="preserve">Y</t>
        </is>
      </c>
      <c r="U30" s="188" t="s">
        <v>15</v>
      </c>
      <c r="V30" s="188" t="s">
        <v>14</v>
      </c>
      <c r="W30" s="188" t="s">
        <v>15</v>
      </c>
      <c r="X30" s="188" t="s">
        <v>14</v>
      </c>
      <c r="Y30" s="253"/>
      <c r="Z30" s="253"/>
      <c r="AA30" s="256" t="inlineStr">
        <is>
          <t xml:space="preserve">Moved to combined stage.</t>
        </is>
      </c>
    </row>
    <row r="31" s="59" customFormat="1" ht="129.6" x14ac:dyDescent="0.55000000000000004" customHeight="1">
      <c r="A31" s="188">
        <v>27</v>
      </c>
      <c r="B31" s="260" t="inlineStr">
        <is>
          <t xml:space="preserve">Evaluation, Design &amp; Analysis</t>
        </is>
      </c>
      <c r="C31" s="57" t="s">
        <v>251</v>
      </c>
      <c r="D31" s="57" t="s">
        <v>594</v>
      </c>
      <c r="E31" s="198" t="s">
        <v>230</v>
      </c>
      <c r="F31" s="199" t="s">
        <v>230</v>
      </c>
      <c r="G31" s="201" t="s">
        <v>599</v>
      </c>
      <c r="H31" s="200" t="s">
        <v>108</v>
      </c>
      <c r="I31" s="187" t="s">
        <v>601</v>
      </c>
      <c r="J31" s="197"/>
      <c r="K31" s="261" t="inlineStr">
        <is>
          <t xml:space="preserve">M</t>
        </is>
      </c>
      <c r="L31" s="189" t="s">
        <v>14</v>
      </c>
      <c r="M31" s="188" t="s">
        <v>15</v>
      </c>
      <c r="N31" s="188" t="s">
        <v>15</v>
      </c>
      <c r="O31" s="188" t="s">
        <v>15</v>
      </c>
      <c r="P31" s="188" t="s">
        <v>15</v>
      </c>
      <c r="Q31" s="188" t="s">
        <v>15</v>
      </c>
      <c r="R31" s="253" t="inlineStr">
        <is>
          <t xml:space="preserve">Y</t>
        </is>
      </c>
      <c r="S31" s="188" t="s">
        <v>15</v>
      </c>
      <c r="T31" s="253" t="inlineStr">
        <is>
          <t xml:space="preserve">Y</t>
        </is>
      </c>
      <c r="U31" s="188" t="s">
        <v>15</v>
      </c>
      <c r="V31" s="188" t="s">
        <v>14</v>
      </c>
      <c r="W31" s="188" t="s">
        <v>15</v>
      </c>
      <c r="X31" s="188" t="s">
        <v>14</v>
      </c>
      <c r="Y31" s="253"/>
      <c r="Z31" s="253"/>
      <c r="AA31" s="256" t="inlineStr">
        <is>
          <t xml:space="preserve">Moved to combined stage. 21-Oct (Sam): design documentation should be attached to the MOC here.</t>
        </is>
      </c>
    </row>
    <row r="32" ht="129.6" x14ac:dyDescent="0.55000000000000004" customHeight="1">
      <c r="A32" s="188">
        <v>28</v>
      </c>
      <c r="B32" s="197" t="s">
        <v>201</v>
      </c>
      <c r="C32" s="57" t="s">
        <v>251</v>
      </c>
      <c r="D32" s="57" t="s">
        <v>594</v>
      </c>
      <c r="E32" s="198" t="s">
        <v>231</v>
      </c>
      <c r="F32" s="199" t="s">
        <v>231</v>
      </c>
      <c r="G32" s="197" t="s">
        <v>602</v>
      </c>
      <c r="H32" s="200" t="s">
        <v>51</v>
      </c>
      <c r="I32" s="187" t="s">
        <v>601</v>
      </c>
      <c r="J32" s="197"/>
      <c r="K32" s="261" t="inlineStr">
        <is>
          <t xml:space="preserve">R</t>
        </is>
      </c>
      <c r="L32" s="189" t="s">
        <v>14</v>
      </c>
      <c r="M32" s="188" t="s">
        <v>15</v>
      </c>
      <c r="N32" s="188" t="s">
        <v>15</v>
      </c>
      <c r="O32" s="188" t="s">
        <v>15</v>
      </c>
      <c r="P32" s="188" t="s">
        <v>15</v>
      </c>
      <c r="Q32" s="188" t="s">
        <v>15</v>
      </c>
      <c r="R32" s="253" t="inlineStr">
        <is>
          <t xml:space="preserve">Y</t>
        </is>
      </c>
      <c r="S32" s="188" t="s">
        <v>15</v>
      </c>
      <c r="T32" s="253" t="inlineStr">
        <is>
          <t xml:space="preserve">Y</t>
        </is>
      </c>
      <c r="U32" s="188" t="s">
        <v>15</v>
      </c>
      <c r="V32" s="188" t="s">
        <v>14</v>
      </c>
      <c r="W32" s="188" t="s">
        <v>15</v>
      </c>
      <c r="X32" s="188" t="s">
        <v>14</v>
      </c>
      <c r="Y32" s="253"/>
      <c r="Z32" s="253"/>
      <c r="AA32" s="256" t="inlineStr">
        <is>
          <t xml:space="preserve">Merged into Evaluation, Design &amp; Analysis Notes.</t>
        </is>
      </c>
    </row>
    <row r="33" ht="201.6" x14ac:dyDescent="0.55000000000000004">
      <c r="A33" s="188">
        <v>29</v>
      </c>
      <c r="B33" s="197" t="s">
        <v>202</v>
      </c>
      <c r="C33" s="57" t="s">
        <v>251</v>
      </c>
      <c r="D33" s="201" t="s">
        <v>603</v>
      </c>
      <c r="E33" s="198" t="s">
        <v>232</v>
      </c>
      <c r="F33" s="199" t="s">
        <v>232</v>
      </c>
      <c r="G33" s="197" t="s">
        <v>604</v>
      </c>
      <c r="H33" s="200" t="s">
        <v>108</v>
      </c>
      <c r="I33" s="187" t="s">
        <v>605</v>
      </c>
      <c r="J33" s="197"/>
      <c r="K33" s="177"/>
      <c r="L33" s="189" t="s">
        <v>14</v>
      </c>
      <c r="M33" s="188" t="s">
        <v>15</v>
      </c>
      <c r="N33" s="188" t="s">
        <v>15</v>
      </c>
      <c r="O33" s="188" t="s">
        <v>15</v>
      </c>
      <c r="P33" s="188" t="s">
        <v>15</v>
      </c>
      <c r="Q33" s="188" t="s">
        <v>15</v>
      </c>
      <c r="R33" s="253" t="inlineStr">
        <is>
          <t xml:space="preserve">Y</t>
        </is>
      </c>
      <c r="S33" s="188" t="s">
        <v>15</v>
      </c>
      <c r="T33" s="188" t="s">
        <v>15</v>
      </c>
      <c r="U33" s="188" t="s">
        <v>15</v>
      </c>
      <c r="V33" s="253" t="inlineStr">
        <is>
          <t xml:space="preserve">Y</t>
        </is>
      </c>
      <c r="W33" s="188" t="s">
        <v>15</v>
      </c>
      <c r="X33" s="188" t="s">
        <v>14</v>
      </c>
      <c r="Y33" s="253"/>
      <c r="Z33" s="253"/>
    </row>
    <row r="34" ht="201.6" x14ac:dyDescent="0.55000000000000004">
      <c r="A34" s="188">
        <v>30</v>
      </c>
      <c r="B34" s="197" t="s">
        <v>202</v>
      </c>
      <c r="C34" s="57" t="s">
        <v>251</v>
      </c>
      <c r="D34" s="201" t="s">
        <v>603</v>
      </c>
      <c r="E34" s="198" t="s">
        <v>233</v>
      </c>
      <c r="F34" s="199" t="s">
        <v>233</v>
      </c>
      <c r="G34" s="197" t="s">
        <v>606</v>
      </c>
      <c r="H34" s="200" t="s">
        <v>108</v>
      </c>
      <c r="I34" s="187" t="s">
        <v>607</v>
      </c>
      <c r="J34" s="197"/>
      <c r="K34" s="177"/>
      <c r="L34" s="189" t="s">
        <v>14</v>
      </c>
      <c r="M34" s="188" t="s">
        <v>15</v>
      </c>
      <c r="N34" s="188" t="s">
        <v>15</v>
      </c>
      <c r="O34" s="188" t="s">
        <v>15</v>
      </c>
      <c r="P34" s="188" t="s">
        <v>15</v>
      </c>
      <c r="Q34" s="188" t="s">
        <v>15</v>
      </c>
      <c r="R34" s="253" t="inlineStr">
        <is>
          <t xml:space="preserve">Y</t>
        </is>
      </c>
      <c r="S34" s="188" t="s">
        <v>15</v>
      </c>
      <c r="T34" s="188" t="s">
        <v>15</v>
      </c>
      <c r="U34" s="188" t="s">
        <v>15</v>
      </c>
      <c r="V34" s="253" t="inlineStr">
        <is>
          <t xml:space="preserve">Y</t>
        </is>
      </c>
      <c r="W34" s="188" t="s">
        <v>15</v>
      </c>
      <c r="X34" s="188" t="s">
        <v>14</v>
      </c>
      <c r="Y34" s="253"/>
      <c r="Z34" s="253"/>
    </row>
    <row r="35" ht="172.8" x14ac:dyDescent="0.55000000000000004">
      <c r="A35" s="188">
        <v>31</v>
      </c>
      <c r="B35" s="197" t="s">
        <v>202</v>
      </c>
      <c r="C35" s="57" t="s">
        <v>251</v>
      </c>
      <c r="D35" s="201" t="s">
        <v>603</v>
      </c>
      <c r="E35" s="198" t="s">
        <v>234</v>
      </c>
      <c r="F35" s="199" t="s">
        <v>234</v>
      </c>
      <c r="G35" s="197" t="s">
        <v>606</v>
      </c>
      <c r="H35" s="200" t="s">
        <v>108</v>
      </c>
      <c r="I35" s="187" t="s">
        <v>608</v>
      </c>
      <c r="J35" s="197"/>
      <c r="K35" s="177"/>
      <c r="L35" s="189" t="s">
        <v>14</v>
      </c>
      <c r="M35" s="188" t="s">
        <v>15</v>
      </c>
      <c r="N35" s="188" t="s">
        <v>15</v>
      </c>
      <c r="O35" s="188" t="s">
        <v>15</v>
      </c>
      <c r="P35" s="188" t="s">
        <v>15</v>
      </c>
      <c r="Q35" s="188" t="s">
        <v>15</v>
      </c>
      <c r="R35" s="253" t="inlineStr">
        <is>
          <t xml:space="preserve">Y</t>
        </is>
      </c>
      <c r="S35" s="188" t="s">
        <v>15</v>
      </c>
      <c r="T35" s="188" t="s">
        <v>15</v>
      </c>
      <c r="U35" s="188" t="s">
        <v>15</v>
      </c>
      <c r="V35" s="253" t="inlineStr">
        <is>
          <t xml:space="preserve">Y</t>
        </is>
      </c>
      <c r="W35" s="188" t="s">
        <v>15</v>
      </c>
      <c r="X35" s="188" t="s">
        <v>14</v>
      </c>
      <c r="Y35" s="253"/>
      <c r="Z35" s="253"/>
    </row>
    <row r="36" ht="187.2" x14ac:dyDescent="0.55000000000000004" customHeight="1">
      <c r="A36" s="188">
        <v>32</v>
      </c>
      <c r="B36" s="197" t="s">
        <v>202</v>
      </c>
      <c r="C36" s="57" t="s">
        <v>251</v>
      </c>
      <c r="D36" s="201" t="s">
        <v>603</v>
      </c>
      <c r="E36" s="198" t="s">
        <v>236</v>
      </c>
      <c r="F36" s="199" t="s">
        <v>236</v>
      </c>
      <c r="G36" s="197" t="s">
        <v>606</v>
      </c>
      <c r="H36" s="200" t="s">
        <v>108</v>
      </c>
      <c r="I36" s="187" t="s">
        <v>609</v>
      </c>
      <c r="J36" s="197"/>
      <c r="K36" s="177"/>
      <c r="L36" s="189" t="s">
        <v>14</v>
      </c>
      <c r="M36" s="188" t="s">
        <v>15</v>
      </c>
      <c r="N36" s="188" t="s">
        <v>15</v>
      </c>
      <c r="O36" s="188" t="s">
        <v>15</v>
      </c>
      <c r="P36" s="188" t="s">
        <v>15</v>
      </c>
      <c r="Q36" s="188" t="s">
        <v>15</v>
      </c>
      <c r="R36" s="253" t="inlineStr">
        <is>
          <t xml:space="preserve">Y</t>
        </is>
      </c>
      <c r="S36" s="188" t="s">
        <v>15</v>
      </c>
      <c r="T36" s="188" t="s">
        <v>15</v>
      </c>
      <c r="U36" s="188" t="s">
        <v>15</v>
      </c>
      <c r="V36" s="253" t="inlineStr">
        <is>
          <t xml:space="preserve">Y</t>
        </is>
      </c>
      <c r="W36" s="188" t="s">
        <v>15</v>
      </c>
      <c r="X36" s="188" t="s">
        <v>14</v>
      </c>
      <c r="Y36" s="253"/>
      <c r="Z36" s="253"/>
      <c r="AA36" s="256" t="inlineStr">
        <is>
          <t xml:space="preserve">21-Oct (Sam): not sure we need both 'Installation Complete?' and 'Installation Confirmed?' - keep one [TBC].</t>
        </is>
      </c>
    </row>
    <row r="37" ht="216.0" x14ac:dyDescent="0.55000000000000004" customHeight="1">
      <c r="A37" s="188">
        <v>33</v>
      </c>
      <c r="B37" s="197" t="s">
        <v>202</v>
      </c>
      <c r="C37" s="57" t="s">
        <v>251</v>
      </c>
      <c r="D37" s="201" t="s">
        <v>603</v>
      </c>
      <c r="E37" s="198" t="s">
        <v>235</v>
      </c>
      <c r="F37" s="199" t="s">
        <v>235</v>
      </c>
      <c r="G37" s="197" t="s">
        <v>606</v>
      </c>
      <c r="H37" s="200" t="s">
        <v>108</v>
      </c>
      <c r="I37" s="187" t="s">
        <v>610</v>
      </c>
      <c r="J37" s="197"/>
      <c r="K37" s="177"/>
      <c r="L37" s="189" t="s">
        <v>14</v>
      </c>
      <c r="M37" s="188" t="s">
        <v>15</v>
      </c>
      <c r="N37" s="188" t="s">
        <v>15</v>
      </c>
      <c r="O37" s="188" t="s">
        <v>15</v>
      </c>
      <c r="P37" s="188" t="s">
        <v>15</v>
      </c>
      <c r="Q37" s="188" t="s">
        <v>15</v>
      </c>
      <c r="R37" s="253" t="inlineStr">
        <is>
          <t xml:space="preserve">Y</t>
        </is>
      </c>
      <c r="S37" s="188" t="s">
        <v>15</v>
      </c>
      <c r="T37" s="188" t="s">
        <v>15</v>
      </c>
      <c r="U37" s="188" t="s">
        <v>15</v>
      </c>
      <c r="V37" s="253" t="inlineStr">
        <is>
          <t xml:space="preserve">Y</t>
        </is>
      </c>
      <c r="W37" s="188" t="s">
        <v>15</v>
      </c>
      <c r="X37" s="188" t="s">
        <v>14</v>
      </c>
      <c r="Y37" s="253"/>
      <c r="Z37" s="253"/>
      <c r="AA37" s="256" t="inlineStr">
        <is>
          <t xml:space="preserve">[TBC] candidate for removal (see row above).</t>
        </is>
      </c>
    </row>
    <row r="38" ht="187.2" x14ac:dyDescent="0.55000000000000004">
      <c r="A38" s="188">
        <v>34</v>
      </c>
      <c r="B38" s="197" t="s">
        <v>202</v>
      </c>
      <c r="C38" s="57" t="s">
        <v>251</v>
      </c>
      <c r="D38" s="201" t="s">
        <v>603</v>
      </c>
      <c r="E38" s="198" t="s">
        <v>237</v>
      </c>
      <c r="F38" s="199" t="s">
        <v>237</v>
      </c>
      <c r="G38" s="201" t="s">
        <v>606</v>
      </c>
      <c r="H38" s="200" t="s">
        <v>108</v>
      </c>
      <c r="I38" s="187" t="s">
        <v>611</v>
      </c>
      <c r="J38" s="197"/>
      <c r="K38" s="177"/>
      <c r="L38" s="189" t="s">
        <v>14</v>
      </c>
      <c r="M38" s="188" t="s">
        <v>15</v>
      </c>
      <c r="N38" s="188" t="s">
        <v>15</v>
      </c>
      <c r="O38" s="188" t="s">
        <v>15</v>
      </c>
      <c r="P38" s="188" t="s">
        <v>15</v>
      </c>
      <c r="Q38" s="188" t="s">
        <v>15</v>
      </c>
      <c r="R38" s="253" t="inlineStr">
        <is>
          <t xml:space="preserve">Y</t>
        </is>
      </c>
      <c r="S38" s="188" t="s">
        <v>15</v>
      </c>
      <c r="T38" s="188" t="s">
        <v>15</v>
      </c>
      <c r="U38" s="188" t="s">
        <v>15</v>
      </c>
      <c r="V38" s="253" t="inlineStr">
        <is>
          <t xml:space="preserve">Y</t>
        </is>
      </c>
      <c r="W38" s="188" t="s">
        <v>15</v>
      </c>
      <c r="X38" s="188" t="s">
        <v>14</v>
      </c>
      <c r="Y38" s="253"/>
      <c r="Z38" s="253"/>
    </row>
    <row r="39" ht="129.6" x14ac:dyDescent="0.55000000000000004">
      <c r="A39" s="188">
        <v>35</v>
      </c>
      <c r="B39" s="197" t="s">
        <v>202</v>
      </c>
      <c r="C39" s="57" t="s">
        <v>251</v>
      </c>
      <c r="D39" s="201" t="s">
        <v>603</v>
      </c>
      <c r="E39" s="198" t="s">
        <v>238</v>
      </c>
      <c r="F39" s="199" t="s">
        <v>238</v>
      </c>
      <c r="G39" s="197" t="s">
        <v>612</v>
      </c>
      <c r="H39" s="200" t="s">
        <v>51</v>
      </c>
      <c r="I39" s="187" t="s">
        <v>601</v>
      </c>
      <c r="J39" s="197"/>
      <c r="K39" s="177"/>
      <c r="L39" s="189" t="s">
        <v>14</v>
      </c>
      <c r="M39" s="188" t="s">
        <v>15</v>
      </c>
      <c r="N39" s="188" t="s">
        <v>15</v>
      </c>
      <c r="O39" s="188" t="s">
        <v>15</v>
      </c>
      <c r="P39" s="188" t="s">
        <v>15</v>
      </c>
      <c r="Q39" s="188" t="s">
        <v>15</v>
      </c>
      <c r="R39" s="253" t="inlineStr">
        <is>
          <t xml:space="preserve">Y</t>
        </is>
      </c>
      <c r="S39" s="188" t="s">
        <v>15</v>
      </c>
      <c r="T39" s="188" t="s">
        <v>15</v>
      </c>
      <c r="U39" s="188" t="s">
        <v>15</v>
      </c>
      <c r="V39" s="253" t="inlineStr">
        <is>
          <t xml:space="preserve">Y</t>
        </is>
      </c>
      <c r="W39" s="188" t="s">
        <v>15</v>
      </c>
      <c r="X39" s="188" t="s">
        <v>14</v>
      </c>
      <c r="Y39" s="253"/>
      <c r="Z39" s="253"/>
    </row>
    <row r="40" ht="172.8" x14ac:dyDescent="0.55000000000000004">
      <c r="A40" s="188">
        <v>36</v>
      </c>
      <c r="B40" s="201" t="s">
        <v>203</v>
      </c>
      <c r="C40" s="57" t="s">
        <v>251</v>
      </c>
      <c r="D40" s="201" t="s">
        <v>614</v>
      </c>
      <c r="E40" s="198" t="s">
        <v>239</v>
      </c>
      <c r="F40" s="199" t="s">
        <v>239</v>
      </c>
      <c r="G40" s="197" t="s">
        <v>615</v>
      </c>
      <c r="H40" s="200" t="s">
        <v>108</v>
      </c>
      <c r="I40" s="187" t="s">
        <v>616</v>
      </c>
      <c r="J40" s="197"/>
      <c r="K40" s="177"/>
      <c r="L40" s="189" t="s">
        <v>14</v>
      </c>
      <c r="M40" s="188" t="s">
        <v>15</v>
      </c>
      <c r="N40" s="188" t="s">
        <v>15</v>
      </c>
      <c r="O40" s="188" t="s">
        <v>15</v>
      </c>
      <c r="P40" s="188" t="s">
        <v>15</v>
      </c>
      <c r="Q40" s="188" t="s">
        <v>15</v>
      </c>
      <c r="R40" s="253" t="inlineStr">
        <is>
          <t xml:space="preserve">Y</t>
        </is>
      </c>
      <c r="S40" s="188" t="s">
        <v>15</v>
      </c>
      <c r="T40" s="188" t="s">
        <v>15</v>
      </c>
      <c r="U40" s="188" t="s">
        <v>15</v>
      </c>
      <c r="V40" s="188" t="s">
        <v>15</v>
      </c>
      <c r="W40" s="188" t="s">
        <v>15</v>
      </c>
      <c r="X40" s="253" t="inlineStr">
        <is>
          <t xml:space="preserve">Y</t>
        </is>
      </c>
      <c r="Y40" s="253"/>
      <c r="Z40" s="253"/>
    </row>
    <row r="41" ht="187.2" x14ac:dyDescent="0.55000000000000004" customHeight="1">
      <c r="A41" s="188">
        <v>37</v>
      </c>
      <c r="B41" s="201" t="s">
        <v>203</v>
      </c>
      <c r="C41" s="57" t="s">
        <v>251</v>
      </c>
      <c r="D41" s="201" t="s">
        <v>614</v>
      </c>
      <c r="E41" s="263" t="inlineStr">
        <is>
          <t xml:space="preserve">Start-Up Confirmed?</t>
        </is>
      </c>
      <c r="F41" s="264" t="inlineStr">
        <is>
          <t xml:space="preserve">Start-Up Confirmed?</t>
        </is>
      </c>
      <c r="G41" s="197" t="s">
        <v>617</v>
      </c>
      <c r="H41" s="200" t="s">
        <v>108</v>
      </c>
      <c r="I41" s="187" t="s">
        <v>618</v>
      </c>
      <c r="J41" s="197"/>
      <c r="K41" s="261" t="inlineStr">
        <is>
          <t xml:space="preserve">M</t>
        </is>
      </c>
      <c r="L41" s="189" t="s">
        <v>14</v>
      </c>
      <c r="M41" s="188" t="s">
        <v>15</v>
      </c>
      <c r="N41" s="188" t="s">
        <v>15</v>
      </c>
      <c r="O41" s="188" t="s">
        <v>15</v>
      </c>
      <c r="P41" s="188" t="s">
        <v>15</v>
      </c>
      <c r="Q41" s="188" t="s">
        <v>15</v>
      </c>
      <c r="R41" s="253" t="inlineStr">
        <is>
          <t xml:space="preserve">Y</t>
        </is>
      </c>
      <c r="S41" s="188" t="s">
        <v>15</v>
      </c>
      <c r="T41" s="188" t="s">
        <v>15</v>
      </c>
      <c r="U41" s="188" t="s">
        <v>15</v>
      </c>
      <c r="V41" s="188" t="s">
        <v>15</v>
      </c>
      <c r="W41" s="188" t="s">
        <v>15</v>
      </c>
      <c r="X41" s="253" t="inlineStr">
        <is>
          <t xml:space="preserve">Y</t>
        </is>
      </c>
      <c r="Y41" s="253"/>
      <c r="Z41" s="253"/>
      <c r="AA41" s="256" t="inlineStr">
        <is>
          <t xml:space="preserve">Typo fix.</t>
        </is>
      </c>
    </row>
    <row r="42" ht="43.2" x14ac:dyDescent="0.55000000000000004">
      <c r="A42" s="188">
        <v>38</v>
      </c>
      <c r="B42" s="201" t="s">
        <v>203</v>
      </c>
      <c r="C42" s="57" t="s">
        <v>251</v>
      </c>
      <c r="D42" s="201" t="s">
        <v>614</v>
      </c>
      <c r="E42" s="198" t="s">
        <v>241</v>
      </c>
      <c r="F42" s="199" t="s">
        <v>241</v>
      </c>
      <c r="G42" s="197" t="s">
        <v>619</v>
      </c>
      <c r="H42" s="200" t="s">
        <v>51</v>
      </c>
      <c r="I42" s="201"/>
      <c r="J42" s="197"/>
      <c r="K42" s="177"/>
      <c r="L42" s="189" t="s">
        <v>14</v>
      </c>
      <c r="M42" s="188" t="s">
        <v>15</v>
      </c>
      <c r="N42" s="188" t="s">
        <v>15</v>
      </c>
      <c r="O42" s="188" t="s">
        <v>15</v>
      </c>
      <c r="P42" s="188" t="s">
        <v>15</v>
      </c>
      <c r="Q42" s="188" t="s">
        <v>15</v>
      </c>
      <c r="R42" s="253" t="inlineStr">
        <is>
          <t xml:space="preserve">Y</t>
        </is>
      </c>
      <c r="S42" s="188" t="s">
        <v>15</v>
      </c>
      <c r="T42" s="188" t="s">
        <v>15</v>
      </c>
      <c r="U42" s="188" t="s">
        <v>15</v>
      </c>
      <c r="V42" s="188" t="s">
        <v>15</v>
      </c>
      <c r="W42" s="188" t="s">
        <v>15</v>
      </c>
      <c r="X42" s="253" t="inlineStr">
        <is>
          <t xml:space="preserve">Y</t>
        </is>
      </c>
      <c r="Y42" s="253"/>
      <c r="Z42" s="253"/>
    </row>
    <row r="43" ht="201.6" x14ac:dyDescent="0.55000000000000004">
      <c r="A43" s="188">
        <v>39</v>
      </c>
      <c r="B43" s="201" t="s">
        <v>204</v>
      </c>
      <c r="C43" s="57" t="s">
        <v>251</v>
      </c>
      <c r="D43" s="201" t="s">
        <v>620</v>
      </c>
      <c r="E43" s="198" t="s">
        <v>243</v>
      </c>
      <c r="F43" s="199" t="s">
        <v>243</v>
      </c>
      <c r="G43" s="201" t="s">
        <v>621</v>
      </c>
      <c r="H43" s="200" t="s">
        <v>108</v>
      </c>
      <c r="I43" s="187" t="s">
        <v>623</v>
      </c>
      <c r="J43" s="197"/>
      <c r="K43" s="177"/>
      <c r="L43" s="189" t="s">
        <v>14</v>
      </c>
      <c r="M43" s="188" t="s">
        <v>15</v>
      </c>
      <c r="N43" s="188" t="s">
        <v>15</v>
      </c>
      <c r="O43" s="188" t="s">
        <v>15</v>
      </c>
      <c r="P43" s="188" t="s">
        <v>15</v>
      </c>
      <c r="Q43" s="188" t="s">
        <v>15</v>
      </c>
      <c r="R43" s="253" t="inlineStr">
        <is>
          <t xml:space="preserve">Y</t>
        </is>
      </c>
      <c r="S43" s="188" t="s">
        <v>15</v>
      </c>
      <c r="T43" s="188" t="s">
        <v>15</v>
      </c>
      <c r="U43" s="188" t="s">
        <v>15</v>
      </c>
      <c r="V43" s="188" t="s">
        <v>15</v>
      </c>
      <c r="W43" s="188" t="s">
        <v>15</v>
      </c>
      <c r="X43" s="188" t="s">
        <v>15</v>
      </c>
      <c r="Y43" s="253"/>
      <c r="Z43" s="253"/>
    </row>
    <row r="44" ht="129.6" x14ac:dyDescent="0.55000000000000004">
      <c r="A44" s="188">
        <v>40</v>
      </c>
      <c r="B44" s="201" t="s">
        <v>204</v>
      </c>
      <c r="C44" s="57" t="s">
        <v>251</v>
      </c>
      <c r="D44" s="201" t="s">
        <v>620</v>
      </c>
      <c r="E44" s="202" t="s">
        <v>230</v>
      </c>
      <c r="F44" s="199" t="s">
        <v>230</v>
      </c>
      <c r="G44" s="187" t="s">
        <v>622</v>
      </c>
      <c r="H44" s="200" t="s">
        <v>108</v>
      </c>
      <c r="I44" s="187" t="s">
        <v>601</v>
      </c>
      <c r="J44" s="197"/>
      <c r="K44" s="177"/>
      <c r="L44" s="189" t="s">
        <v>14</v>
      </c>
      <c r="M44" s="188" t="s">
        <v>15</v>
      </c>
      <c r="N44" s="188" t="s">
        <v>15</v>
      </c>
      <c r="O44" s="188" t="s">
        <v>15</v>
      </c>
      <c r="P44" s="188" t="s">
        <v>15</v>
      </c>
      <c r="Q44" s="188" t="s">
        <v>15</v>
      </c>
      <c r="R44" s="253" t="inlineStr">
        <is>
          <t xml:space="preserve">Y</t>
        </is>
      </c>
      <c r="S44" s="188" t="s">
        <v>15</v>
      </c>
      <c r="T44" s="188" t="s">
        <v>15</v>
      </c>
      <c r="U44" s="188" t="s">
        <v>15</v>
      </c>
      <c r="V44" s="188" t="s">
        <v>15</v>
      </c>
      <c r="W44" s="188" t="s">
        <v>15</v>
      </c>
      <c r="X44" s="188" t="s">
        <v>15</v>
      </c>
      <c r="Y44" s="253"/>
      <c r="Z44" s="253"/>
    </row>
    <row r="45" ht="86.4" x14ac:dyDescent="0.55000000000000004" customHeight="1">
      <c r="A45" s="188">
        <v>41</v>
      </c>
      <c r="B45" s="201" t="s">
        <v>204</v>
      </c>
      <c r="C45" s="57" t="s">
        <v>251</v>
      </c>
      <c r="D45" s="201" t="s">
        <v>620</v>
      </c>
      <c r="E45" s="263" t="inlineStr">
        <is>
          <t xml:space="preserve">Were MOC Procedures Followed?</t>
        </is>
      </c>
      <c r="F45" s="264" t="inlineStr">
        <is>
          <t xml:space="preserve">Were MOC Procedures Followed?</t>
        </is>
      </c>
      <c r="G45" s="201" t="s">
        <v>624</v>
      </c>
      <c r="H45" s="200" t="s">
        <v>108</v>
      </c>
      <c r="I45" s="187" t="s">
        <v>625</v>
      </c>
      <c r="J45" s="197"/>
      <c r="K45" s="261" t="inlineStr">
        <is>
          <t xml:space="preserve">M</t>
        </is>
      </c>
      <c r="L45" s="189" t="s">
        <v>14</v>
      </c>
      <c r="M45" s="188" t="s">
        <v>15</v>
      </c>
      <c r="N45" s="188" t="s">
        <v>15</v>
      </c>
      <c r="O45" s="188" t="s">
        <v>15</v>
      </c>
      <c r="P45" s="188" t="s">
        <v>15</v>
      </c>
      <c r="Q45" s="188" t="s">
        <v>15</v>
      </c>
      <c r="R45" s="253" t="inlineStr">
        <is>
          <t xml:space="preserve">Y</t>
        </is>
      </c>
      <c r="S45" s="188" t="s">
        <v>15</v>
      </c>
      <c r="T45" s="188" t="s">
        <v>15</v>
      </c>
      <c r="U45" s="188" t="s">
        <v>15</v>
      </c>
      <c r="V45" s="188" t="s">
        <v>15</v>
      </c>
      <c r="W45" s="188" t="s">
        <v>15</v>
      </c>
      <c r="X45" s="188" t="s">
        <v>15</v>
      </c>
      <c r="Y45" s="253"/>
      <c r="Z45" s="253"/>
      <c r="AA45" s="256" t="inlineStr">
        <is>
          <t xml:space="preserve">Typo fix.</t>
        </is>
      </c>
    </row>
    <row r="46" ht="115.2" x14ac:dyDescent="0.55000000000000004" customHeight="1">
      <c r="A46" s="188">
        <v>42</v>
      </c>
      <c r="B46" s="201" t="s">
        <v>204</v>
      </c>
      <c r="C46" s="57" t="s">
        <v>251</v>
      </c>
      <c r="D46" s="201" t="s">
        <v>620</v>
      </c>
      <c r="E46" s="263" t="inlineStr">
        <is>
          <t xml:space="preserve">MOC Process Effectiveness &amp; Feedback</t>
        </is>
      </c>
      <c r="F46" s="264" t="inlineStr">
        <is>
          <t xml:space="preserve">MOC Process Effectiveness &amp; Feedback</t>
        </is>
      </c>
      <c r="G46" s="201" t="s">
        <v>626</v>
      </c>
      <c r="H46" s="200" t="s">
        <v>51</v>
      </c>
      <c r="I46" s="187" t="s">
        <v>627</v>
      </c>
      <c r="J46" s="197"/>
      <c r="K46" s="261" t="inlineStr">
        <is>
          <t xml:space="preserve">M</t>
        </is>
      </c>
      <c r="L46" s="189" t="s">
        <v>14</v>
      </c>
      <c r="M46" s="188" t="s">
        <v>15</v>
      </c>
      <c r="N46" s="188" t="s">
        <v>15</v>
      </c>
      <c r="O46" s="188" t="s">
        <v>15</v>
      </c>
      <c r="P46" s="188" t="s">
        <v>15</v>
      </c>
      <c r="Q46" s="188" t="s">
        <v>15</v>
      </c>
      <c r="R46" s="253" t="inlineStr">
        <is>
          <t xml:space="preserve">Y</t>
        </is>
      </c>
      <c r="S46" s="188" t="s">
        <v>15</v>
      </c>
      <c r="T46" s="188" t="s">
        <v>15</v>
      </c>
      <c r="U46" s="188" t="s">
        <v>15</v>
      </c>
      <c r="V46" s="188" t="s">
        <v>15</v>
      </c>
      <c r="W46" s="188" t="s">
        <v>15</v>
      </c>
      <c r="X46" s="188" t="s">
        <v>15</v>
      </c>
      <c r="Y46" s="253"/>
      <c r="Z46" s="253"/>
      <c r="AA46" s="256" t="inlineStr">
        <is>
          <t xml:space="preserve">Typo fix.</t>
        </is>
      </c>
    </row>
    <row r="47" ht="28.8" x14ac:dyDescent="0.55000000000000004" customHeight="1">
      <c r="A47" s="188">
        <v>43</v>
      </c>
      <c r="B47" s="201" t="s">
        <v>204</v>
      </c>
      <c r="C47" s="57" t="s">
        <v>251</v>
      </c>
      <c r="D47" s="201" t="s">
        <v>620</v>
      </c>
      <c r="E47" s="198" t="s">
        <v>246</v>
      </c>
      <c r="F47" s="199" t="s">
        <v>246</v>
      </c>
      <c r="G47" s="197" t="s">
        <v>628</v>
      </c>
      <c r="H47" s="200" t="s">
        <v>51</v>
      </c>
      <c r="I47" s="201"/>
      <c r="J47" s="197"/>
      <c r="K47" s="177"/>
      <c r="L47" s="189" t="s">
        <v>14</v>
      </c>
      <c r="M47" s="188" t="s">
        <v>15</v>
      </c>
      <c r="N47" s="188" t="s">
        <v>15</v>
      </c>
      <c r="O47" s="188" t="s">
        <v>15</v>
      </c>
      <c r="P47" s="188" t="s">
        <v>15</v>
      </c>
      <c r="Q47" s="188" t="s">
        <v>15</v>
      </c>
      <c r="R47" s="253" t="inlineStr">
        <is>
          <t xml:space="preserve">Y</t>
        </is>
      </c>
      <c r="S47" s="188" t="s">
        <v>15</v>
      </c>
      <c r="T47" s="188" t="s">
        <v>15</v>
      </c>
      <c r="U47" s="188" t="s">
        <v>15</v>
      </c>
      <c r="V47" s="188" t="s">
        <v>15</v>
      </c>
      <c r="W47" s="188" t="s">
        <v>15</v>
      </c>
      <c r="X47" s="188" t="s">
        <v>15</v>
      </c>
      <c r="Y47" s="253"/>
      <c r="Z47" s="253"/>
      <c r="AA47" s="256" t="inlineStr">
        <is>
          <t xml:space="preserve">21-Oct (Sam): add questions from the MOC audit form to Follow Up (list from Sam) [TBC].</t>
        </is>
      </c>
    </row>
    <row r="48" ht="72.0" x14ac:dyDescent="0.55000000000000004" customHeight="1">
      <c r="A48" s="188">
        <v>44</v>
      </c>
      <c r="B48" s="260" t="inlineStr">
        <is>
          <t xml:space="preserve">• Evaluation, Design &amp; Analysis
• Start Up
• Follow Up</t>
        </is>
      </c>
      <c r="C48" s="57" t="s">
        <v>251</v>
      </c>
      <c r="D48" s="203" t="s">
        <v>585</v>
      </c>
      <c r="E48" s="198" t="s">
        <v>222</v>
      </c>
      <c r="F48" s="202" t="s">
        <v>457</v>
      </c>
      <c r="G48" s="197" t="s">
        <v>634</v>
      </c>
      <c r="H48" s="200" t="s">
        <v>169</v>
      </c>
      <c r="I48" s="201"/>
      <c r="J48" s="187" t="s">
        <v>584</v>
      </c>
      <c r="K48" s="261" t="inlineStr">
        <is>
          <t xml:space="preserve">M</t>
        </is>
      </c>
      <c r="L48" s="189" t="s">
        <v>14</v>
      </c>
      <c r="M48" s="188" t="s">
        <v>15</v>
      </c>
      <c r="N48" s="188" t="s">
        <v>15</v>
      </c>
      <c r="O48" s="188" t="s">
        <v>15</v>
      </c>
      <c r="P48" s="188" t="s">
        <v>15</v>
      </c>
      <c r="Q48" s="188" t="s">
        <v>15</v>
      </c>
      <c r="R48" s="253" t="inlineStr">
        <is>
          <t xml:space="preserve">Y</t>
        </is>
      </c>
      <c r="S48" s="188" t="s">
        <v>15</v>
      </c>
      <c r="T48" s="188" t="s">
        <v>15</v>
      </c>
      <c r="U48" s="188" t="s">
        <v>15</v>
      </c>
      <c r="V48" s="188" t="s">
        <v>15</v>
      </c>
      <c r="W48" s="188" t="s">
        <v>15</v>
      </c>
      <c r="X48" s="188" t="s">
        <v>15</v>
      </c>
      <c r="Y48" s="253"/>
      <c r="Z48" s="253"/>
      <c r="AA48" s="256" t="inlineStr">
        <is>
          <t xml:space="preserve">Checklist answered mainly in Evaluation, Design &amp; Analysis.</t>
        </is>
      </c>
    </row>
    <row r="49" ht="86.4" x14ac:dyDescent="0.55000000000000004" customHeight="1">
      <c r="A49" s="188">
        <v>45</v>
      </c>
      <c r="B49" s="197" t="s">
        <v>248</v>
      </c>
      <c r="C49" s="57" t="s">
        <v>251</v>
      </c>
      <c r="D49" s="203" t="s">
        <v>585</v>
      </c>
      <c r="E49" s="198" t="s">
        <v>222</v>
      </c>
      <c r="F49" s="199" t="s">
        <v>456</v>
      </c>
      <c r="G49" s="197" t="s">
        <v>634</v>
      </c>
      <c r="H49" s="200" t="s">
        <v>169</v>
      </c>
      <c r="I49" s="201"/>
      <c r="J49" s="187" t="s">
        <v>586</v>
      </c>
      <c r="K49" s="261" t="inlineStr">
        <is>
          <t xml:space="preserve">R</t>
        </is>
      </c>
      <c r="L49" s="189" t="s">
        <v>14</v>
      </c>
      <c r="M49" s="188" t="s">
        <v>15</v>
      </c>
      <c r="N49" s="188" t="s">
        <v>15</v>
      </c>
      <c r="O49" s="188" t="s">
        <v>15</v>
      </c>
      <c r="P49" s="188" t="s">
        <v>15</v>
      </c>
      <c r="Q49" s="188" t="s">
        <v>15</v>
      </c>
      <c r="R49" s="253" t="inlineStr">
        <is>
          <t xml:space="preserve">Y</t>
        </is>
      </c>
      <c r="S49" s="188" t="s">
        <v>15</v>
      </c>
      <c r="T49" s="188" t="s">
        <v>15</v>
      </c>
      <c r="U49" s="188" t="s">
        <v>15</v>
      </c>
      <c r="V49" s="188" t="s">
        <v>15</v>
      </c>
      <c r="W49" s="188" t="s">
        <v>15</v>
      </c>
      <c r="X49" s="188" t="s">
        <v>15</v>
      </c>
      <c r="Y49" s="253"/>
      <c r="Z49" s="253"/>
      <c r="AA49" s="256" t="inlineStr">
        <is>
          <t xml:space="preserve">Duplicate of previous row.</t>
        </is>
      </c>
    </row>
    <row r="50" ht="100.8" x14ac:dyDescent="0.55000000000000004" customHeight="1">
      <c r="A50" s="188">
        <v>46</v>
      </c>
      <c r="B50" s="260" t="inlineStr">
        <is>
          <t xml:space="preserve">• Evaluation, Design &amp; Analysis
• Approval
• Implementation
• Start Up
• Follow Up</t>
        </is>
      </c>
      <c r="C50" s="57" t="s">
        <v>251</v>
      </c>
      <c r="D50" s="203" t="s">
        <v>223</v>
      </c>
      <c r="E50" s="198" t="s">
        <v>223</v>
      </c>
      <c r="F50" s="199" t="s">
        <v>223</v>
      </c>
      <c r="G50" s="197" t="s">
        <v>633</v>
      </c>
      <c r="H50" s="200" t="s">
        <v>169</v>
      </c>
      <c r="I50" s="201"/>
      <c r="J50" s="187" t="s">
        <v>587</v>
      </c>
      <c r="K50" s="261" t="inlineStr">
        <is>
          <t xml:space="preserve">M</t>
        </is>
      </c>
      <c r="L50" s="189" t="s">
        <v>14</v>
      </c>
      <c r="M50" s="188" t="s">
        <v>15</v>
      </c>
      <c r="N50" s="188" t="s">
        <v>15</v>
      </c>
      <c r="O50" s="188" t="s">
        <v>15</v>
      </c>
      <c r="P50" s="188" t="s">
        <v>15</v>
      </c>
      <c r="Q50" s="188" t="s">
        <v>15</v>
      </c>
      <c r="R50" s="188" t="s">
        <v>15</v>
      </c>
      <c r="S50" s="188" t="s">
        <v>15</v>
      </c>
      <c r="T50" s="188" t="s">
        <v>15</v>
      </c>
      <c r="U50" s="188" t="s">
        <v>15</v>
      </c>
      <c r="V50" s="188" t="s">
        <v>15</v>
      </c>
      <c r="W50" s="188" t="s">
        <v>15</v>
      </c>
      <c r="X50" s="188" t="s">
        <v>15</v>
      </c>
      <c r="Y50" s="253"/>
      <c r="Z50" s="253"/>
      <c r="AA50" s="256" t="inlineStr">
        <is>
          <t xml:space="preserve">Stages updated.</t>
        </is>
      </c>
    </row>
    <row r="51" ht="100.8" x14ac:dyDescent="0.55000000000000004" customHeight="1">
      <c r="A51" s="188">
        <v>47</v>
      </c>
      <c r="B51" s="260" t="inlineStr">
        <is>
          <t xml:space="preserve">• Approval (auto-generated)
• Any stage (ad hoc)</t>
        </is>
      </c>
      <c r="C51" s="57" t="s">
        <v>251</v>
      </c>
      <c r="D51" s="203" t="s">
        <v>226</v>
      </c>
      <c r="E51" s="198" t="s">
        <v>226</v>
      </c>
      <c r="F51" s="199" t="s">
        <v>226</v>
      </c>
      <c r="G51" s="197" t="s">
        <v>635</v>
      </c>
      <c r="H51" s="200" t="s">
        <v>169</v>
      </c>
      <c r="I51" s="201"/>
      <c r="J51" s="187" t="s">
        <v>588</v>
      </c>
      <c r="K51" s="261" t="inlineStr">
        <is>
          <t xml:space="preserve">M</t>
        </is>
      </c>
      <c r="L51" s="189" t="s">
        <v>14</v>
      </c>
      <c r="M51" s="188" t="s">
        <v>15</v>
      </c>
      <c r="N51" s="188" t="s">
        <v>15</v>
      </c>
      <c r="O51" s="188" t="s">
        <v>15</v>
      </c>
      <c r="P51" s="188" t="s">
        <v>15</v>
      </c>
      <c r="Q51" s="188" t="s">
        <v>15</v>
      </c>
      <c r="R51" s="188" t="s">
        <v>15</v>
      </c>
      <c r="S51" s="188" t="s">
        <v>15</v>
      </c>
      <c r="T51" s="188" t="s">
        <v>15</v>
      </c>
      <c r="U51" s="188" t="s">
        <v>15</v>
      </c>
      <c r="V51" s="188" t="s">
        <v>15</v>
      </c>
      <c r="W51" s="188" t="s">
        <v>15</v>
      </c>
      <c r="X51" s="188" t="s">
        <v>15</v>
      </c>
      <c r="Y51" s="253"/>
      <c r="Z51" s="253"/>
      <c r="AA51" s="256" t="inlineStr">
        <is>
          <t xml:space="preserve">Approvals generated in the Approval stage.</t>
        </is>
      </c>
    </row>
    <row r="52" ht="100.8" x14ac:dyDescent="0.55000000000000004" customHeight="1">
      <c r="A52" s="188">
        <v>48</v>
      </c>
      <c r="B52" s="197" t="s">
        <v>386</v>
      </c>
      <c r="C52" s="57" t="s">
        <v>251</v>
      </c>
      <c r="D52" s="198" t="s">
        <v>221</v>
      </c>
      <c r="E52" s="198" t="s">
        <v>221</v>
      </c>
      <c r="F52" s="199" t="s">
        <v>221</v>
      </c>
      <c r="G52" s="197" t="s">
        <v>629</v>
      </c>
      <c r="H52" s="200" t="s">
        <v>169</v>
      </c>
      <c r="I52" s="201"/>
      <c r="J52" s="201" t="s">
        <v>630</v>
      </c>
      <c r="K52" s="177"/>
      <c r="L52" s="189" t="s">
        <v>14</v>
      </c>
      <c r="M52" s="188" t="s">
        <v>15</v>
      </c>
      <c r="N52" s="188" t="s">
        <v>15</v>
      </c>
      <c r="O52" s="188" t="s">
        <v>15</v>
      </c>
      <c r="P52" s="188" t="s">
        <v>15</v>
      </c>
      <c r="Q52" s="188" t="s">
        <v>15</v>
      </c>
      <c r="R52" s="188" t="s">
        <v>15</v>
      </c>
      <c r="S52" s="188" t="s">
        <v>15</v>
      </c>
      <c r="T52" s="188" t="s">
        <v>15</v>
      </c>
      <c r="U52" s="188" t="s">
        <v>15</v>
      </c>
      <c r="V52" s="188" t="s">
        <v>15</v>
      </c>
      <c r="W52" s="188" t="s">
        <v>15</v>
      </c>
      <c r="X52" s="188" t="s">
        <v>15</v>
      </c>
      <c r="Y52" s="253"/>
      <c r="Z52" s="253"/>
      <c r="AA52" s="256" t="inlineStr">
        <is>
          <t xml:space="preserve">KEEP - 21-Oct (Shaun, Hugo): traceability, e.g. phased tank works (roof removal, new roof, return to service).</t>
        </is>
      </c>
    </row>
    <row r="53" x14ac:dyDescent="0.55000000000000004" ht="86.4" customHeight="1">
      <c r="A53" s="188">
        <v>49</v>
      </c>
      <c r="B53" s="197" t="s">
        <v>386</v>
      </c>
      <c r="C53" s="57" t="s">
        <v>251</v>
      </c>
      <c r="D53" s="202" t="s">
        <v>631</v>
      </c>
      <c r="E53" s="199" t="s">
        <v>453</v>
      </c>
      <c r="F53" s="202" t="s">
        <v>631</v>
      </c>
      <c r="G53" s="197"/>
      <c r="H53" s="200" t="s">
        <v>169</v>
      </c>
      <c r="I53" s="262" t="inlineStr">
        <is>
          <t xml:space="preserve">Instruction text: attach all supporting documents - risk assessment / JSA, method statement, procedures, P&amp;IDs, design documents, SDS, permits and licences.</t>
        </is>
      </c>
      <c r="J53" s="201" t="s">
        <v>632</v>
      </c>
      <c r="K53" s="261" t="inlineStr">
        <is>
          <t xml:space="preserve">M</t>
        </is>
      </c>
      <c r="L53" s="189" t="s">
        <v>14</v>
      </c>
      <c r="M53" s="188" t="s">
        <v>15</v>
      </c>
      <c r="N53" s="188" t="s">
        <v>15</v>
      </c>
      <c r="O53" s="188" t="s">
        <v>15</v>
      </c>
      <c r="P53" s="188" t="s">
        <v>15</v>
      </c>
      <c r="Q53" s="188" t="s">
        <v>15</v>
      </c>
      <c r="R53" s="188" t="s">
        <v>15</v>
      </c>
      <c r="S53" s="188" t="s">
        <v>15</v>
      </c>
      <c r="T53" s="188" t="s">
        <v>15</v>
      </c>
      <c r="U53" s="188" t="s">
        <v>15</v>
      </c>
      <c r="V53" s="188" t="s">
        <v>15</v>
      </c>
      <c r="W53" s="188" t="s">
        <v>15</v>
      </c>
      <c r="X53" s="188" t="s">
        <v>15</v>
      </c>
      <c r="Y53" s="253"/>
      <c r="Z53" s="253"/>
      <c r="AA53" s="256" t="inlineStr">
        <is>
          <t xml:space="preserve">21-Oct (Khesar): explain under Attachments which documents are expected. Manual MOC form retired.</t>
        </is>
      </c>
    </row>
    <row r="54" x14ac:dyDescent="0.55000000000000004">
      <c r="A54" s="188">
        <v>50</v>
      </c>
      <c r="B54" s="197" t="s">
        <v>386</v>
      </c>
      <c r="C54" s="57" t="s">
        <v>251</v>
      </c>
      <c r="D54" s="199" t="s">
        <v>454</v>
      </c>
      <c r="E54" s="199" t="s">
        <v>454</v>
      </c>
      <c r="F54" s="199" t="s">
        <v>454</v>
      </c>
      <c r="G54" s="197"/>
      <c r="H54" s="200" t="s">
        <v>169</v>
      </c>
      <c r="I54" s="201"/>
      <c r="J54" s="201" t="s">
        <v>632</v>
      </c>
      <c r="K54" s="177"/>
      <c r="L54" s="189" t="s">
        <v>14</v>
      </c>
      <c r="M54" s="188" t="s">
        <v>15</v>
      </c>
      <c r="N54" s="188" t="s">
        <v>15</v>
      </c>
      <c r="O54" s="188" t="s">
        <v>15</v>
      </c>
      <c r="P54" s="188" t="s">
        <v>15</v>
      </c>
      <c r="Q54" s="188" t="s">
        <v>15</v>
      </c>
      <c r="R54" s="188" t="s">
        <v>15</v>
      </c>
      <c r="S54" s="188" t="s">
        <v>15</v>
      </c>
      <c r="T54" s="188" t="s">
        <v>15</v>
      </c>
      <c r="U54" s="188" t="s">
        <v>15</v>
      </c>
      <c r="V54" s="188" t="s">
        <v>15</v>
      </c>
      <c r="W54" s="188" t="s">
        <v>15</v>
      </c>
      <c r="X54" s="188" t="s">
        <v>15</v>
      </c>
      <c r="Y54" s="253"/>
      <c r="Z54" s="253"/>
    </row>
    <row r="55" x14ac:dyDescent="0.55000000000000004">
      <c r="B55" s="13"/>
      <c r="C55" s="63"/>
      <c r="G55" s="99"/>
      <c r="H55" s="64"/>
      <c r="I55" s="64"/>
      <c r="J55" s="64"/>
      <c r="K55" s="13"/>
    </row>
    <row r="56" x14ac:dyDescent="0.55000000000000004">
      <c r="B56" s="13"/>
      <c r="C56" s="63"/>
      <c r="G56" s="99"/>
      <c r="H56" s="64"/>
      <c r="I56" s="64"/>
      <c r="J56" s="64"/>
      <c r="K56" s="13"/>
    </row>
    <row r="57" ht="27" x14ac:dyDescent="0.55000000000000004">
      <c r="A57" s="66" t="s">
        <v>250</v>
      </c>
      <c r="B57" s="151"/>
      <c r="C57" s="152"/>
      <c r="D57" s="153"/>
      <c r="E57" s="153"/>
      <c r="F57" s="153"/>
      <c r="G57" s="154"/>
      <c r="H57" s="65"/>
      <c r="I57" s="155"/>
      <c r="J57" s="155"/>
      <c r="K57" s="151"/>
    </row>
    <row r="58" ht="100.2" x14ac:dyDescent="0.55000000000000004">
      <c r="A58" s="9" t="s">
        <v>37</v>
      </c>
      <c r="B58" s="9" t="s">
        <v>43</v>
      </c>
      <c r="C58" s="9" t="s">
        <v>44</v>
      </c>
      <c r="D58" s="9" t="s">
        <v>581</v>
      </c>
      <c r="E58" s="9" t="s">
        <v>552</v>
      </c>
      <c r="F58" s="9" t="s">
        <v>553</v>
      </c>
      <c r="G58" s="9" t="s">
        <v>19</v>
      </c>
      <c r="H58" s="9" t="s">
        <v>36</v>
      </c>
      <c r="I58" s="185" t="s">
        <v>554</v>
      </c>
      <c r="J58" s="55" t="s">
        <v>47</v>
      </c>
      <c r="K58" s="56" t="s">
        <v>101</v>
      </c>
      <c r="L58" s="186" t="s">
        <v>648</v>
      </c>
      <c r="M58" s="186" t="s">
        <v>656</v>
      </c>
    </row>
    <row r="59" ht="28.8" x14ac:dyDescent="0.55000000000000004">
      <c r="A59" s="179">
        <v>1</v>
      </c>
      <c r="B59" s="180" t="s">
        <v>133</v>
      </c>
      <c r="C59" s="180" t="s">
        <v>250</v>
      </c>
      <c r="D59" s="181" t="s">
        <v>647</v>
      </c>
      <c r="E59" s="182" t="s">
        <v>208</v>
      </c>
      <c r="F59" s="182" t="s">
        <v>208</v>
      </c>
      <c r="G59" s="182"/>
      <c r="H59" s="183" t="s">
        <v>169</v>
      </c>
      <c r="I59" s="184"/>
      <c r="J59" s="187" t="s">
        <v>558</v>
      </c>
      <c r="K59" s="179"/>
      <c r="L59" s="188" t="s">
        <v>15</v>
      </c>
      <c r="M59" s="188" t="s">
        <v>14</v>
      </c>
    </row>
    <row r="60" x14ac:dyDescent="0.55000000000000004">
      <c r="A60" s="179">
        <v>2</v>
      </c>
      <c r="B60" s="180" t="s">
        <v>133</v>
      </c>
      <c r="C60" s="180" t="s">
        <v>250</v>
      </c>
      <c r="D60" s="181" t="s">
        <v>647</v>
      </c>
      <c r="E60" s="182" t="s">
        <v>251</v>
      </c>
      <c r="F60" s="182" t="s">
        <v>251</v>
      </c>
      <c r="G60" s="182"/>
      <c r="H60" s="183" t="s">
        <v>169</v>
      </c>
      <c r="I60" s="184"/>
      <c r="J60" s="187" t="s">
        <v>655</v>
      </c>
      <c r="K60" s="179"/>
      <c r="L60" s="188" t="s">
        <v>15</v>
      </c>
      <c r="M60" s="188" t="s">
        <v>14</v>
      </c>
    </row>
    <row r="61" ht="86.4" x14ac:dyDescent="0.55000000000000004">
      <c r="A61" s="179">
        <v>4</v>
      </c>
      <c r="B61" s="180" t="s">
        <v>133</v>
      </c>
      <c r="C61" s="180" t="s">
        <v>250</v>
      </c>
      <c r="D61" s="181" t="s">
        <v>647</v>
      </c>
      <c r="E61" s="182" t="s">
        <v>177</v>
      </c>
      <c r="F61" s="182" t="s">
        <v>177</v>
      </c>
      <c r="G61" s="184" t="s">
        <v>649</v>
      </c>
      <c r="H61" s="183" t="s">
        <v>51</v>
      </c>
      <c r="I61" s="184" t="s">
        <v>650</v>
      </c>
      <c r="J61" s="187"/>
      <c r="K61" s="179"/>
      <c r="L61" s="188" t="s">
        <v>14</v>
      </c>
      <c r="M61" s="188" t="s">
        <v>15</v>
      </c>
    </row>
    <row r="62" ht="57.6" x14ac:dyDescent="0.55000000000000004">
      <c r="A62" s="179">
        <v>5</v>
      </c>
      <c r="B62" s="180" t="s">
        <v>133</v>
      </c>
      <c r="C62" s="180" t="s">
        <v>250</v>
      </c>
      <c r="D62" s="181" t="s">
        <v>647</v>
      </c>
      <c r="E62" s="182" t="s">
        <v>178</v>
      </c>
      <c r="F62" s="182" t="s">
        <v>178</v>
      </c>
      <c r="G62" s="184" t="s">
        <v>651</v>
      </c>
      <c r="H62" s="183" t="s">
        <v>51</v>
      </c>
      <c r="I62" s="184" t="s">
        <v>652</v>
      </c>
      <c r="J62" s="187"/>
      <c r="K62" s="179"/>
      <c r="L62" s="188" t="s">
        <v>14</v>
      </c>
      <c r="M62" s="188" t="s">
        <v>15</v>
      </c>
    </row>
    <row r="63" ht="57.6" x14ac:dyDescent="0.55000000000000004">
      <c r="A63" s="179">
        <v>6</v>
      </c>
      <c r="B63" s="180" t="s">
        <v>133</v>
      </c>
      <c r="C63" s="180" t="s">
        <v>250</v>
      </c>
      <c r="D63" s="181" t="s">
        <v>647</v>
      </c>
      <c r="E63" s="182" t="s">
        <v>183</v>
      </c>
      <c r="F63" s="182" t="s">
        <v>183</v>
      </c>
      <c r="G63" s="184" t="s">
        <v>653</v>
      </c>
      <c r="H63" s="183" t="s">
        <v>106</v>
      </c>
      <c r="I63" s="184" t="s">
        <v>652</v>
      </c>
      <c r="J63" s="187"/>
      <c r="K63" s="179"/>
      <c r="L63" s="188" t="s">
        <v>14</v>
      </c>
      <c r="M63" s="188" t="s">
        <v>15</v>
      </c>
    </row>
    <row r="64" x14ac:dyDescent="0.55000000000000004" ht="28.8" customHeight="1">
      <c r="A64" s="179">
        <v>7</v>
      </c>
      <c r="B64" s="180" t="s">
        <v>133</v>
      </c>
      <c r="C64" s="180" t="s">
        <v>250</v>
      </c>
      <c r="D64" s="181" t="s">
        <v>647</v>
      </c>
      <c r="E64" s="182" t="s">
        <v>108</v>
      </c>
      <c r="F64" s="182" t="s">
        <v>108</v>
      </c>
      <c r="G64" s="182"/>
      <c r="H64" s="265" t="inlineStr">
        <is>
          <t xml:space="preserve">Lookup</t>
        </is>
      </c>
      <c r="I64" s="184"/>
      <c r="J64" s="254" t="inlineStr">
        <is>
          <t xml:space="preserve">Values: Yes / No / N/A [TBC]</t>
        </is>
      </c>
      <c r="K64" s="266" t="inlineStr">
        <is>
          <t xml:space="preserve">M</t>
        </is>
      </c>
      <c r="L64" s="188" t="s">
        <v>15</v>
      </c>
      <c r="M64" s="188" t="s">
        <v>15</v>
      </c>
      <c r="AA64" s="256" t="inlineStr">
        <is>
          <t xml:space="preserve">Checklist answers usually need N/A.</t>
        </is>
      </c>
    </row>
    <row r="65" x14ac:dyDescent="0.55000000000000004">
      <c r="A65" s="179">
        <v>8</v>
      </c>
      <c r="B65" s="180" t="s">
        <v>133</v>
      </c>
      <c r="C65" s="180" t="s">
        <v>250</v>
      </c>
      <c r="D65" s="181" t="s">
        <v>647</v>
      </c>
      <c r="E65" s="182" t="s">
        <v>4</v>
      </c>
      <c r="F65" s="182" t="s">
        <v>4</v>
      </c>
      <c r="G65" s="182"/>
      <c r="H65" s="183" t="s">
        <v>51</v>
      </c>
      <c r="I65" s="184"/>
      <c r="J65" s="187"/>
      <c r="K65" s="179"/>
      <c r="L65" s="188" t="s">
        <v>15</v>
      </c>
      <c r="M65" s="188" t="s">
        <v>15</v>
      </c>
    </row>
    <row r="66" x14ac:dyDescent="0.55000000000000004">
      <c r="A66" s="179">
        <v>9</v>
      </c>
      <c r="B66" s="180" t="s">
        <v>133</v>
      </c>
      <c r="C66" s="180" t="s">
        <v>250</v>
      </c>
      <c r="D66" s="182" t="s">
        <v>631</v>
      </c>
      <c r="E66" s="182" t="s">
        <v>453</v>
      </c>
      <c r="F66" s="182" t="s">
        <v>631</v>
      </c>
      <c r="G66" s="182"/>
      <c r="H66" s="183" t="s">
        <v>169</v>
      </c>
      <c r="I66" s="184"/>
      <c r="J66" s="187" t="s">
        <v>654</v>
      </c>
      <c r="K66" s="179"/>
      <c r="L66" s="188" t="s">
        <v>15</v>
      </c>
      <c r="M66" s="188" t="s">
        <v>15</v>
      </c>
    </row>
    <row r="68" ht="27" x14ac:dyDescent="0.55000000000000004">
      <c r="A68" s="66" t="s">
        <v>362</v>
      </c>
      <c r="B68" s="58"/>
      <c r="C68" s="59"/>
      <c r="D68" s="59"/>
      <c r="E68" s="28"/>
      <c r="F68" s="59"/>
      <c r="G68" s="59"/>
      <c r="H68" s="59"/>
      <c r="I68" s="59"/>
      <c r="J68" s="59"/>
      <c r="K68" s="59"/>
    </row>
    <row r="69" ht="121.2" x14ac:dyDescent="0.55000000000000004">
      <c r="A69" s="194" t="s">
        <v>37</v>
      </c>
      <c r="B69" s="194" t="s">
        <v>43</v>
      </c>
      <c r="C69" s="194" t="s">
        <v>44</v>
      </c>
      <c r="D69" s="194" t="s">
        <v>581</v>
      </c>
      <c r="E69" s="194" t="s">
        <v>552</v>
      </c>
      <c r="F69" s="194" t="s">
        <v>553</v>
      </c>
      <c r="G69" s="194" t="s">
        <v>19</v>
      </c>
      <c r="H69" s="194" t="s">
        <v>36</v>
      </c>
      <c r="I69" s="185" t="s">
        <v>554</v>
      </c>
      <c r="J69" s="194" t="s">
        <v>47</v>
      </c>
      <c r="K69" s="186" t="s">
        <v>101</v>
      </c>
      <c r="L69" s="186" t="s">
        <v>555</v>
      </c>
      <c r="M69" s="186" t="s">
        <v>556</v>
      </c>
      <c r="N69" s="186" t="s">
        <v>657</v>
      </c>
      <c r="O69" s="186" t="s">
        <v>557</v>
      </c>
      <c r="P69" s="186" t="s">
        <v>663</v>
      </c>
      <c r="Q69" s="186" t="s">
        <v>700</v>
      </c>
      <c r="R69" s="186" t="s">
        <v>701</v>
      </c>
    </row>
    <row r="70" ht="28.8" x14ac:dyDescent="0.55000000000000004">
      <c r="A70" s="179">
        <v>1</v>
      </c>
      <c r="B70" s="180" t="s">
        <v>255</v>
      </c>
      <c r="C70" s="181" t="s">
        <v>370</v>
      </c>
      <c r="D70" s="182" t="s">
        <v>658</v>
      </c>
      <c r="E70" s="182" t="s">
        <v>208</v>
      </c>
      <c r="F70" s="182" t="s">
        <v>208</v>
      </c>
      <c r="G70" s="187"/>
      <c r="H70" s="183" t="s">
        <v>169</v>
      </c>
      <c r="I70" s="179"/>
      <c r="J70" s="187" t="s">
        <v>558</v>
      </c>
      <c r="K70" s="178"/>
      <c r="M70" s="188" t="s">
        <v>15</v>
      </c>
      <c r="N70" s="188" t="s">
        <v>14</v>
      </c>
      <c r="O70" s="188" t="s">
        <v>15</v>
      </c>
      <c r="P70" s="188" t="s">
        <v>14</v>
      </c>
      <c r="Q70" s="188" t="s">
        <v>15</v>
      </c>
      <c r="R70" s="188" t="s">
        <v>14</v>
      </c>
    </row>
    <row r="71" x14ac:dyDescent="0.55000000000000004">
      <c r="A71" s="179">
        <v>2</v>
      </c>
      <c r="B71" s="180" t="s">
        <v>538</v>
      </c>
      <c r="C71" s="181" t="s">
        <v>370</v>
      </c>
      <c r="D71" s="182" t="s">
        <v>658</v>
      </c>
      <c r="E71" s="182" t="s">
        <v>259</v>
      </c>
      <c r="F71" s="182" t="s">
        <v>259</v>
      </c>
      <c r="G71" s="187"/>
      <c r="H71" s="183" t="s">
        <v>163</v>
      </c>
      <c r="I71" s="179"/>
      <c r="J71" s="187"/>
      <c r="K71" s="178"/>
      <c r="M71" s="188" t="s">
        <v>15</v>
      </c>
      <c r="N71" s="188" t="s">
        <v>14</v>
      </c>
      <c r="O71" s="188" t="s">
        <v>15</v>
      </c>
      <c r="P71" s="188" t="s">
        <v>14</v>
      </c>
      <c r="Q71" s="188" t="s">
        <v>15</v>
      </c>
      <c r="R71" s="188" t="s">
        <v>14</v>
      </c>
    </row>
    <row r="72" ht="28.8" x14ac:dyDescent="0.55000000000000004">
      <c r="A72" s="179">
        <v>3</v>
      </c>
      <c r="B72" s="180" t="s">
        <v>255</v>
      </c>
      <c r="C72" s="181" t="s">
        <v>252</v>
      </c>
      <c r="D72" s="182" t="s">
        <v>658</v>
      </c>
      <c r="E72" s="182" t="s">
        <v>251</v>
      </c>
      <c r="F72" s="182" t="s">
        <v>251</v>
      </c>
      <c r="G72" s="184" t="s">
        <v>661</v>
      </c>
      <c r="H72" s="183" t="s">
        <v>169</v>
      </c>
      <c r="I72" s="179"/>
      <c r="J72" s="187" t="s">
        <v>655</v>
      </c>
      <c r="K72" s="178"/>
      <c r="M72" s="188" t="s">
        <v>15</v>
      </c>
      <c r="N72" s="188" t="s">
        <v>14</v>
      </c>
      <c r="O72" s="188" t="s">
        <v>15</v>
      </c>
      <c r="P72" s="188" t="s">
        <v>14</v>
      </c>
      <c r="Q72" s="188" t="s">
        <v>15</v>
      </c>
      <c r="R72" s="188" t="s">
        <v>14</v>
      </c>
    </row>
    <row r="73" ht="28.8" x14ac:dyDescent="0.55000000000000004">
      <c r="A73" s="179">
        <v>4</v>
      </c>
      <c r="B73" s="180" t="s">
        <v>255</v>
      </c>
      <c r="C73" s="181" t="s">
        <v>251</v>
      </c>
      <c r="D73" s="182" t="s">
        <v>658</v>
      </c>
      <c r="E73" s="182" t="s">
        <v>178</v>
      </c>
      <c r="F73" s="182" t="s">
        <v>178</v>
      </c>
      <c r="G73" s="184" t="s">
        <v>708</v>
      </c>
      <c r="H73" s="183" t="s">
        <v>169</v>
      </c>
      <c r="I73" s="184" t="s">
        <v>709</v>
      </c>
      <c r="J73" s="187" t="s">
        <v>572</v>
      </c>
      <c r="K73" s="178"/>
      <c r="M73" s="188" t="s">
        <v>15</v>
      </c>
      <c r="N73" s="188" t="s">
        <v>14</v>
      </c>
      <c r="O73" s="188" t="s">
        <v>15</v>
      </c>
      <c r="P73" s="188" t="s">
        <v>14</v>
      </c>
      <c r="Q73" s="188" t="s">
        <v>15</v>
      </c>
      <c r="R73" s="188" t="s">
        <v>14</v>
      </c>
    </row>
    <row r="74" s="59" customFormat="1" ht="43.2" x14ac:dyDescent="0.55000000000000004">
      <c r="A74" s="179">
        <v>5</v>
      </c>
      <c r="B74" s="180" t="s">
        <v>255</v>
      </c>
      <c r="C74" s="181" t="s">
        <v>252</v>
      </c>
      <c r="D74" s="182" t="s">
        <v>658</v>
      </c>
      <c r="E74" s="182" t="s">
        <v>187</v>
      </c>
      <c r="F74" s="182" t="s">
        <v>187</v>
      </c>
      <c r="G74" s="184" t="s">
        <v>710</v>
      </c>
      <c r="H74" s="183" t="s">
        <v>51</v>
      </c>
      <c r="I74" s="184" t="s">
        <v>711</v>
      </c>
      <c r="J74" s="187"/>
      <c r="K74" s="178"/>
      <c r="L74" s="62"/>
      <c r="M74" s="188" t="s">
        <v>14</v>
      </c>
      <c r="N74" s="188" t="s">
        <v>15</v>
      </c>
      <c r="O74" s="188" t="s">
        <v>15</v>
      </c>
      <c r="P74" s="188" t="s">
        <v>14</v>
      </c>
      <c r="Q74" s="188" t="s">
        <v>15</v>
      </c>
      <c r="R74" s="188" t="s">
        <v>14</v>
      </c>
      <c r="S74" s="62"/>
      <c r="T74" s="62"/>
      <c r="U74" s="62"/>
      <c r="V74" s="62"/>
      <c r="W74" s="62"/>
      <c r="X74" s="62"/>
      <c r="Y74" s="62"/>
      <c r="Z74" s="62"/>
      <c r="AA74" s="62"/>
      <c r="AB74" s="62"/>
      <c r="AC74" s="62"/>
    </row>
    <row r="75" ht="43.2" x14ac:dyDescent="0.55000000000000004">
      <c r="A75" s="179">
        <v>6</v>
      </c>
      <c r="B75" s="180" t="s">
        <v>255</v>
      </c>
      <c r="C75" s="181" t="s">
        <v>252</v>
      </c>
      <c r="D75" s="182" t="s">
        <v>658</v>
      </c>
      <c r="E75" s="182" t="s">
        <v>254</v>
      </c>
      <c r="F75" s="182" t="s">
        <v>407</v>
      </c>
      <c r="G75" s="184" t="s">
        <v>712</v>
      </c>
      <c r="H75" s="183" t="s">
        <v>169</v>
      </c>
      <c r="I75" s="184" t="s">
        <v>713</v>
      </c>
      <c r="J75" s="187" t="s">
        <v>660</v>
      </c>
      <c r="K75" s="178"/>
      <c r="M75" s="188" t="s">
        <v>14</v>
      </c>
      <c r="N75" s="188" t="s">
        <v>15</v>
      </c>
      <c r="O75" s="188" t="s">
        <v>15</v>
      </c>
      <c r="P75" s="188" t="s">
        <v>14</v>
      </c>
      <c r="Q75" s="188" t="s">
        <v>15</v>
      </c>
      <c r="R75" s="188" t="s">
        <v>14</v>
      </c>
    </row>
    <row r="76" ht="28.8" x14ac:dyDescent="0.55000000000000004">
      <c r="A76" s="179">
        <v>7</v>
      </c>
      <c r="B76" s="180" t="s">
        <v>255</v>
      </c>
      <c r="C76" s="181" t="s">
        <v>370</v>
      </c>
      <c r="D76" s="182" t="s">
        <v>658</v>
      </c>
      <c r="E76" s="182" t="s">
        <v>3</v>
      </c>
      <c r="F76" s="182" t="s">
        <v>537</v>
      </c>
      <c r="G76" s="184" t="s">
        <v>707</v>
      </c>
      <c r="H76" s="183" t="s">
        <v>52</v>
      </c>
      <c r="I76" s="184" t="s">
        <v>706</v>
      </c>
      <c r="J76" s="187"/>
      <c r="K76" s="178"/>
      <c r="M76" s="188" t="s">
        <v>14</v>
      </c>
      <c r="N76" s="188" t="s">
        <v>15</v>
      </c>
      <c r="O76" s="188" t="s">
        <v>15</v>
      </c>
      <c r="P76" s="188" t="s">
        <v>14</v>
      </c>
      <c r="Q76" s="188" t="s">
        <v>15</v>
      </c>
      <c r="R76" s="188" t="s">
        <v>14</v>
      </c>
    </row>
    <row r="77" ht="43.2" x14ac:dyDescent="0.55000000000000004">
      <c r="A77" s="179">
        <v>8</v>
      </c>
      <c r="B77" s="180" t="s">
        <v>258</v>
      </c>
      <c r="C77" s="181" t="s">
        <v>252</v>
      </c>
      <c r="D77" s="182" t="s">
        <v>658</v>
      </c>
      <c r="E77" s="182" t="s">
        <v>256</v>
      </c>
      <c r="F77" s="182" t="s">
        <v>256</v>
      </c>
      <c r="G77" s="184" t="s">
        <v>704</v>
      </c>
      <c r="H77" s="183" t="s">
        <v>52</v>
      </c>
      <c r="I77" s="184" t="s">
        <v>705</v>
      </c>
      <c r="J77" s="187"/>
      <c r="K77" s="178"/>
      <c r="M77" s="188" t="s">
        <v>15</v>
      </c>
      <c r="N77" s="188" t="s">
        <v>15</v>
      </c>
      <c r="O77" s="188" t="s">
        <v>14</v>
      </c>
      <c r="P77" s="188" t="s">
        <v>15</v>
      </c>
      <c r="Q77" s="188" t="s">
        <v>15</v>
      </c>
      <c r="R77" s="188" t="s">
        <v>14</v>
      </c>
    </row>
    <row r="78" x14ac:dyDescent="0.55000000000000004">
      <c r="A78" s="179">
        <v>9</v>
      </c>
      <c r="B78" s="180" t="s">
        <v>258</v>
      </c>
      <c r="C78" s="181" t="s">
        <v>252</v>
      </c>
      <c r="D78" s="182" t="s">
        <v>658</v>
      </c>
      <c r="E78" s="182" t="s">
        <v>257</v>
      </c>
      <c r="F78" s="182" t="s">
        <v>265</v>
      </c>
      <c r="G78" s="187"/>
      <c r="H78" s="183" t="s">
        <v>51</v>
      </c>
      <c r="I78" s="179"/>
      <c r="J78" s="187"/>
      <c r="K78" s="178"/>
      <c r="M78" s="188" t="s">
        <v>15</v>
      </c>
      <c r="N78" s="188" t="s">
        <v>15</v>
      </c>
      <c r="O78" s="188" t="s">
        <v>14</v>
      </c>
      <c r="P78" s="188" t="s">
        <v>15</v>
      </c>
      <c r="Q78" s="188" t="s">
        <v>15</v>
      </c>
      <c r="R78" s="188" t="s">
        <v>14</v>
      </c>
    </row>
    <row r="79" x14ac:dyDescent="0.55000000000000004">
      <c r="A79" s="179">
        <v>10</v>
      </c>
      <c r="B79" s="180" t="s">
        <v>255</v>
      </c>
      <c r="C79" s="181" t="s">
        <v>362</v>
      </c>
      <c r="D79" s="182" t="s">
        <v>453</v>
      </c>
      <c r="E79" s="182" t="s">
        <v>453</v>
      </c>
      <c r="F79" s="182" t="s">
        <v>453</v>
      </c>
      <c r="G79" s="187"/>
      <c r="H79" s="183" t="s">
        <v>169</v>
      </c>
      <c r="I79" s="179"/>
      <c r="J79" s="187" t="s">
        <v>659</v>
      </c>
      <c r="K79" s="178"/>
      <c r="M79" s="188" t="s">
        <v>15</v>
      </c>
      <c r="N79" s="188" t="s">
        <v>15</v>
      </c>
      <c r="O79" s="188" t="s">
        <v>15</v>
      </c>
      <c r="P79" s="188" t="s">
        <v>15</v>
      </c>
      <c r="Q79" s="188" t="s">
        <v>15</v>
      </c>
      <c r="R79" s="188" t="s">
        <v>14</v>
      </c>
    </row>
    <row r="80" x14ac:dyDescent="0.55000000000000004">
      <c r="A80" s="179">
        <v>11</v>
      </c>
      <c r="B80" s="180" t="s">
        <v>538</v>
      </c>
      <c r="C80" s="181" t="s">
        <v>362</v>
      </c>
      <c r="D80" s="182" t="s">
        <v>454</v>
      </c>
      <c r="E80" s="182" t="s">
        <v>454</v>
      </c>
      <c r="F80" s="182" t="s">
        <v>454</v>
      </c>
      <c r="G80" s="187"/>
      <c r="H80" s="183" t="s">
        <v>169</v>
      </c>
      <c r="I80" s="179"/>
      <c r="J80" s="187" t="s">
        <v>659</v>
      </c>
      <c r="K80" s="178"/>
      <c r="M80" s="188" t="s">
        <v>15</v>
      </c>
      <c r="N80" s="188" t="s">
        <v>15</v>
      </c>
      <c r="O80" s="188" t="s">
        <v>15</v>
      </c>
      <c r="P80" s="188" t="s">
        <v>15</v>
      </c>
      <c r="Q80" s="188" t="s">
        <v>15</v>
      </c>
      <c r="R80" s="188" t="s">
        <v>14</v>
      </c>
    </row>
    <row r="81" x14ac:dyDescent="0.55000000000000004">
      <c r="B81" s="13"/>
      <c r="C81" s="63"/>
      <c r="G81" s="187"/>
      <c r="H81" s="13"/>
      <c r="I81" s="64"/>
      <c r="J81" s="187"/>
      <c r="K81" s="57"/>
      <c r="M81" s="188"/>
      <c r="N81" s="188"/>
      <c r="O81" s="188"/>
      <c r="P81" s="188"/>
    </row>
    <row r="82" ht="27" x14ac:dyDescent="0.55000000000000004">
      <c r="A82" s="66" t="s">
        <v>355</v>
      </c>
      <c r="B82" s="58"/>
      <c r="C82" s="59"/>
      <c r="D82" s="59"/>
      <c r="E82" s="28"/>
      <c r="F82" s="59"/>
      <c r="G82" s="59"/>
      <c r="H82" s="59"/>
      <c r="I82" s="59"/>
      <c r="J82" s="59"/>
      <c r="K82" s="59"/>
    </row>
    <row r="83" ht="121.2" x14ac:dyDescent="0.55000000000000004">
      <c r="A83" s="194" t="s">
        <v>37</v>
      </c>
      <c r="B83" s="194" t="s">
        <v>43</v>
      </c>
      <c r="C83" s="194" t="s">
        <v>44</v>
      </c>
      <c r="D83" s="194" t="s">
        <v>581</v>
      </c>
      <c r="E83" s="194" t="s">
        <v>552</v>
      </c>
      <c r="F83" s="194" t="s">
        <v>553</v>
      </c>
      <c r="G83" s="194" t="s">
        <v>19</v>
      </c>
      <c r="H83" s="194" t="s">
        <v>36</v>
      </c>
      <c r="I83" s="185" t="s">
        <v>554</v>
      </c>
      <c r="J83" s="194" t="s">
        <v>47</v>
      </c>
      <c r="K83" s="186" t="s">
        <v>101</v>
      </c>
      <c r="L83" s="186" t="s">
        <v>555</v>
      </c>
      <c r="M83" s="186" t="s">
        <v>556</v>
      </c>
      <c r="N83" s="186" t="s">
        <v>657</v>
      </c>
      <c r="O83" s="186" t="s">
        <v>557</v>
      </c>
      <c r="P83" s="186" t="s">
        <v>722</v>
      </c>
      <c r="Q83" s="186" t="s">
        <v>700</v>
      </c>
      <c r="R83" s="186" t="s">
        <v>701</v>
      </c>
    </row>
    <row r="84" ht="28.8" x14ac:dyDescent="0.55000000000000004">
      <c r="A84" s="179">
        <v>1</v>
      </c>
      <c r="B84" s="180" t="s">
        <v>255</v>
      </c>
      <c r="C84" s="181" t="s">
        <v>370</v>
      </c>
      <c r="D84" s="182" t="s">
        <v>662</v>
      </c>
      <c r="E84" s="182" t="s">
        <v>208</v>
      </c>
      <c r="F84" s="182" t="s">
        <v>208</v>
      </c>
      <c r="G84" s="187"/>
      <c r="H84" s="183" t="s">
        <v>169</v>
      </c>
      <c r="I84" s="179"/>
      <c r="J84" s="187" t="s">
        <v>558</v>
      </c>
      <c r="K84" s="178"/>
      <c r="M84" s="188" t="s">
        <v>15</v>
      </c>
      <c r="N84" s="188" t="s">
        <v>14</v>
      </c>
      <c r="O84" s="188" t="s">
        <v>15</v>
      </c>
      <c r="P84" s="188" t="s">
        <v>14</v>
      </c>
      <c r="Q84" s="205" t="s">
        <v>15</v>
      </c>
      <c r="R84" s="205" t="s">
        <v>14</v>
      </c>
    </row>
    <row r="85" x14ac:dyDescent="0.55000000000000004">
      <c r="A85" s="179">
        <v>2</v>
      </c>
      <c r="B85" s="180" t="s">
        <v>538</v>
      </c>
      <c r="C85" s="181" t="s">
        <v>370</v>
      </c>
      <c r="D85" s="182" t="s">
        <v>662</v>
      </c>
      <c r="E85" s="182" t="s">
        <v>259</v>
      </c>
      <c r="F85" s="182" t="s">
        <v>259</v>
      </c>
      <c r="G85" s="187"/>
      <c r="H85" s="183" t="s">
        <v>163</v>
      </c>
      <c r="I85" s="179"/>
      <c r="J85" s="187"/>
      <c r="K85" s="178"/>
      <c r="M85" s="188" t="s">
        <v>15</v>
      </c>
      <c r="N85" s="188" t="s">
        <v>14</v>
      </c>
      <c r="O85" s="188" t="s">
        <v>15</v>
      </c>
      <c r="P85" s="188" t="s">
        <v>14</v>
      </c>
      <c r="Q85" s="205" t="s">
        <v>15</v>
      </c>
      <c r="R85" s="205" t="s">
        <v>14</v>
      </c>
    </row>
    <row r="86" ht="28.8" x14ac:dyDescent="0.55000000000000004">
      <c r="A86" s="179">
        <v>3</v>
      </c>
      <c r="B86" s="180" t="s">
        <v>255</v>
      </c>
      <c r="C86" s="181" t="s">
        <v>252</v>
      </c>
      <c r="D86" s="182" t="s">
        <v>662</v>
      </c>
      <c r="E86" s="182" t="s">
        <v>251</v>
      </c>
      <c r="F86" s="182" t="s">
        <v>251</v>
      </c>
      <c r="G86" s="184" t="s">
        <v>661</v>
      </c>
      <c r="H86" s="183" t="s">
        <v>169</v>
      </c>
      <c r="I86" s="179"/>
      <c r="J86" s="187" t="s">
        <v>655</v>
      </c>
      <c r="K86" s="178"/>
      <c r="M86" s="188" t="s">
        <v>15</v>
      </c>
      <c r="N86" s="188" t="s">
        <v>14</v>
      </c>
      <c r="O86" s="188" t="s">
        <v>15</v>
      </c>
      <c r="P86" s="188" t="s">
        <v>14</v>
      </c>
      <c r="Q86" s="205" t="s">
        <v>15</v>
      </c>
      <c r="R86" s="205" t="s">
        <v>14</v>
      </c>
    </row>
    <row r="87" ht="28.8" x14ac:dyDescent="0.55000000000000004">
      <c r="A87" s="179">
        <v>4</v>
      </c>
      <c r="B87" s="180" t="s">
        <v>255</v>
      </c>
      <c r="C87" s="181" t="s">
        <v>251</v>
      </c>
      <c r="D87" s="182" t="s">
        <v>662</v>
      </c>
      <c r="E87" s="182" t="s">
        <v>178</v>
      </c>
      <c r="F87" s="182" t="s">
        <v>178</v>
      </c>
      <c r="G87" s="184" t="s">
        <v>708</v>
      </c>
      <c r="H87" s="183" t="s">
        <v>169</v>
      </c>
      <c r="I87" s="184" t="s">
        <v>709</v>
      </c>
      <c r="J87" s="187" t="s">
        <v>572</v>
      </c>
      <c r="K87" s="178"/>
      <c r="M87" s="188" t="s">
        <v>15</v>
      </c>
      <c r="N87" s="188" t="s">
        <v>14</v>
      </c>
      <c r="O87" s="188" t="s">
        <v>15</v>
      </c>
      <c r="P87" s="188" t="s">
        <v>14</v>
      </c>
      <c r="Q87" s="205" t="s">
        <v>15</v>
      </c>
      <c r="R87" s="205" t="s">
        <v>14</v>
      </c>
    </row>
    <row r="88" s="59" customFormat="1" ht="43.2" x14ac:dyDescent="0.55000000000000004">
      <c r="A88" s="179">
        <v>5</v>
      </c>
      <c r="B88" s="180" t="s">
        <v>255</v>
      </c>
      <c r="C88" s="181" t="s">
        <v>252</v>
      </c>
      <c r="D88" s="182" t="s">
        <v>662</v>
      </c>
      <c r="E88" s="182" t="s">
        <v>187</v>
      </c>
      <c r="F88" s="182" t="s">
        <v>187</v>
      </c>
      <c r="G88" s="184" t="s">
        <v>710</v>
      </c>
      <c r="H88" s="183" t="s">
        <v>51</v>
      </c>
      <c r="I88" s="184" t="s">
        <v>711</v>
      </c>
      <c r="J88" s="187"/>
      <c r="K88" s="178"/>
      <c r="L88" s="62"/>
      <c r="M88" s="188" t="s">
        <v>14</v>
      </c>
      <c r="N88" s="188" t="s">
        <v>15</v>
      </c>
      <c r="O88" s="188" t="s">
        <v>15</v>
      </c>
      <c r="P88" s="188" t="s">
        <v>14</v>
      </c>
      <c r="Q88" s="205" t="s">
        <v>15</v>
      </c>
      <c r="R88" s="205" t="s">
        <v>14</v>
      </c>
      <c r="S88" s="62"/>
      <c r="T88" s="62"/>
      <c r="U88" s="62"/>
      <c r="V88" s="62"/>
      <c r="W88" s="62"/>
      <c r="X88" s="62"/>
      <c r="Y88" s="62"/>
      <c r="Z88" s="62"/>
      <c r="AA88" s="62"/>
    </row>
    <row r="89" ht="43.2" x14ac:dyDescent="0.55000000000000004">
      <c r="A89" s="179">
        <v>6</v>
      </c>
      <c r="B89" s="180" t="s">
        <v>255</v>
      </c>
      <c r="C89" s="181" t="s">
        <v>252</v>
      </c>
      <c r="D89" s="182" t="s">
        <v>662</v>
      </c>
      <c r="E89" s="182" t="s">
        <v>254</v>
      </c>
      <c r="F89" s="182" t="s">
        <v>407</v>
      </c>
      <c r="G89" s="184" t="s">
        <v>712</v>
      </c>
      <c r="H89" s="183" t="s">
        <v>169</v>
      </c>
      <c r="I89" s="184" t="s">
        <v>713</v>
      </c>
      <c r="J89" s="187" t="s">
        <v>660</v>
      </c>
      <c r="K89" s="178"/>
      <c r="M89" s="188" t="s">
        <v>14</v>
      </c>
      <c r="N89" s="188" t="s">
        <v>15</v>
      </c>
      <c r="O89" s="188" t="s">
        <v>15</v>
      </c>
      <c r="P89" s="188" t="s">
        <v>14</v>
      </c>
      <c r="Q89" s="205" t="s">
        <v>15</v>
      </c>
      <c r="R89" s="205" t="s">
        <v>14</v>
      </c>
    </row>
    <row r="90" ht="28.8" x14ac:dyDescent="0.55000000000000004">
      <c r="A90" s="179">
        <v>7</v>
      </c>
      <c r="B90" s="180" t="s">
        <v>255</v>
      </c>
      <c r="C90" s="181" t="s">
        <v>370</v>
      </c>
      <c r="D90" s="182" t="s">
        <v>662</v>
      </c>
      <c r="E90" s="182" t="s">
        <v>3</v>
      </c>
      <c r="F90" s="182" t="s">
        <v>537</v>
      </c>
      <c r="G90" s="184" t="s">
        <v>707</v>
      </c>
      <c r="H90" s="183" t="s">
        <v>52</v>
      </c>
      <c r="I90" s="184" t="s">
        <v>706</v>
      </c>
      <c r="J90" s="187"/>
      <c r="K90" s="178"/>
      <c r="M90" s="188" t="s">
        <v>14</v>
      </c>
      <c r="N90" s="188" t="s">
        <v>15</v>
      </c>
      <c r="O90" s="188" t="s">
        <v>15</v>
      </c>
      <c r="P90" s="188" t="s">
        <v>14</v>
      </c>
      <c r="Q90" s="205" t="s">
        <v>15</v>
      </c>
      <c r="R90" s="205" t="s">
        <v>14</v>
      </c>
    </row>
    <row r="91" ht="43.2" x14ac:dyDescent="0.55000000000000004">
      <c r="A91" s="179">
        <v>8</v>
      </c>
      <c r="B91" s="180" t="s">
        <v>258</v>
      </c>
      <c r="C91" s="181" t="s">
        <v>252</v>
      </c>
      <c r="D91" s="182" t="s">
        <v>662</v>
      </c>
      <c r="E91" s="182" t="s">
        <v>256</v>
      </c>
      <c r="F91" s="182" t="s">
        <v>256</v>
      </c>
      <c r="G91" s="184" t="s">
        <v>704</v>
      </c>
      <c r="H91" s="183" t="s">
        <v>52</v>
      </c>
      <c r="I91" s="184" t="s">
        <v>705</v>
      </c>
      <c r="J91" s="187"/>
      <c r="K91" s="178"/>
      <c r="M91" s="188" t="s">
        <v>15</v>
      </c>
      <c r="N91" s="188" t="s">
        <v>15</v>
      </c>
      <c r="O91" s="188" t="s">
        <v>14</v>
      </c>
      <c r="P91" s="188" t="s">
        <v>15</v>
      </c>
      <c r="Q91" s="205" t="s">
        <v>15</v>
      </c>
      <c r="R91" s="205" t="s">
        <v>14</v>
      </c>
    </row>
    <row r="92" x14ac:dyDescent="0.55000000000000004">
      <c r="A92" s="179">
        <v>9</v>
      </c>
      <c r="B92" s="180" t="s">
        <v>258</v>
      </c>
      <c r="C92" s="181" t="s">
        <v>252</v>
      </c>
      <c r="D92" s="182" t="s">
        <v>662</v>
      </c>
      <c r="E92" s="182" t="s">
        <v>257</v>
      </c>
      <c r="F92" s="182" t="s">
        <v>265</v>
      </c>
      <c r="G92" s="187"/>
      <c r="H92" s="183" t="s">
        <v>51</v>
      </c>
      <c r="I92" s="179"/>
      <c r="J92" s="187"/>
      <c r="K92" s="178"/>
      <c r="M92" s="188" t="s">
        <v>15</v>
      </c>
      <c r="N92" s="188" t="s">
        <v>15</v>
      </c>
      <c r="O92" s="188" t="s">
        <v>14</v>
      </c>
      <c r="P92" s="188" t="s">
        <v>15</v>
      </c>
      <c r="Q92" s="205" t="s">
        <v>15</v>
      </c>
      <c r="R92" s="205" t="s">
        <v>14</v>
      </c>
    </row>
    <row r="93" x14ac:dyDescent="0.55000000000000004">
      <c r="A93" s="179">
        <v>10</v>
      </c>
      <c r="B93" s="180" t="s">
        <v>255</v>
      </c>
      <c r="C93" s="182" t="s">
        <v>355</v>
      </c>
      <c r="D93" s="182" t="s">
        <v>453</v>
      </c>
      <c r="E93" s="182" t="s">
        <v>453</v>
      </c>
      <c r="F93" s="182" t="s">
        <v>453</v>
      </c>
      <c r="G93" s="187"/>
      <c r="H93" s="183" t="s">
        <v>169</v>
      </c>
      <c r="I93" s="179"/>
      <c r="J93" s="187" t="s">
        <v>659</v>
      </c>
      <c r="K93" s="178"/>
      <c r="M93" s="188" t="s">
        <v>15</v>
      </c>
      <c r="N93" s="188" t="s">
        <v>15</v>
      </c>
      <c r="O93" s="188" t="s">
        <v>15</v>
      </c>
      <c r="P93" s="188" t="s">
        <v>15</v>
      </c>
      <c r="Q93" s="205" t="s">
        <v>15</v>
      </c>
      <c r="R93" s="205" t="s">
        <v>14</v>
      </c>
    </row>
    <row r="94" x14ac:dyDescent="0.55000000000000004">
      <c r="A94" s="179">
        <v>11</v>
      </c>
      <c r="B94" s="180" t="s">
        <v>538</v>
      </c>
      <c r="C94" s="182" t="s">
        <v>355</v>
      </c>
      <c r="D94" s="182" t="s">
        <v>454</v>
      </c>
      <c r="E94" s="182" t="s">
        <v>454</v>
      </c>
      <c r="F94" s="182" t="s">
        <v>454</v>
      </c>
      <c r="G94" s="187"/>
      <c r="H94" s="183" t="s">
        <v>169</v>
      </c>
      <c r="I94" s="179"/>
      <c r="J94" s="187" t="s">
        <v>659</v>
      </c>
      <c r="K94" s="178"/>
      <c r="M94" s="188" t="s">
        <v>15</v>
      </c>
      <c r="N94" s="188" t="s">
        <v>15</v>
      </c>
      <c r="O94" s="188" t="s">
        <v>15</v>
      </c>
      <c r="P94" s="188" t="s">
        <v>15</v>
      </c>
      <c r="Q94" s="205" t="s">
        <v>15</v>
      </c>
      <c r="R94" s="205" t="s">
        <v>14</v>
      </c>
    </row>
    <row r="96" ht="27" x14ac:dyDescent="0.55000000000000004">
      <c r="A96" s="66" t="s">
        <v>356</v>
      </c>
      <c r="B96" s="58"/>
      <c r="C96" s="59"/>
      <c r="D96" s="59"/>
      <c r="E96" s="28"/>
      <c r="F96" s="59"/>
      <c r="G96" s="59"/>
      <c r="H96" s="59"/>
      <c r="I96" s="59"/>
      <c r="J96" s="59"/>
      <c r="K96" s="59"/>
    </row>
    <row r="97" ht="121.2" x14ac:dyDescent="0.55000000000000004">
      <c r="A97" s="194" t="s">
        <v>37</v>
      </c>
      <c r="B97" s="194" t="s">
        <v>43</v>
      </c>
      <c r="C97" s="194" t="s">
        <v>44</v>
      </c>
      <c r="D97" s="194" t="s">
        <v>581</v>
      </c>
      <c r="E97" s="194" t="s">
        <v>552</v>
      </c>
      <c r="F97" s="194" t="s">
        <v>553</v>
      </c>
      <c r="G97" s="194" t="s">
        <v>19</v>
      </c>
      <c r="H97" s="194" t="s">
        <v>36</v>
      </c>
      <c r="I97" s="185" t="s">
        <v>554</v>
      </c>
      <c r="J97" s="194" t="s">
        <v>47</v>
      </c>
      <c r="K97" s="186" t="s">
        <v>101</v>
      </c>
      <c r="L97" s="186" t="s">
        <v>555</v>
      </c>
      <c r="M97" s="186" t="s">
        <v>556</v>
      </c>
      <c r="N97" s="186" t="s">
        <v>657</v>
      </c>
      <c r="O97" s="186" t="s">
        <v>557</v>
      </c>
      <c r="P97" s="186" t="s">
        <v>722</v>
      </c>
      <c r="Q97" s="186" t="s">
        <v>700</v>
      </c>
      <c r="R97" s="186" t="s">
        <v>701</v>
      </c>
    </row>
    <row r="98" ht="28.8" x14ac:dyDescent="0.55000000000000004">
      <c r="A98" s="179">
        <v>1</v>
      </c>
      <c r="B98" s="180" t="s">
        <v>255</v>
      </c>
      <c r="C98" s="181" t="s">
        <v>370</v>
      </c>
      <c r="D98" s="182" t="s">
        <v>664</v>
      </c>
      <c r="E98" s="182" t="s">
        <v>208</v>
      </c>
      <c r="F98" s="182" t="s">
        <v>208</v>
      </c>
      <c r="G98" s="187"/>
      <c r="H98" s="183" t="s">
        <v>169</v>
      </c>
      <c r="I98" s="179"/>
      <c r="J98" s="187" t="s">
        <v>558</v>
      </c>
      <c r="K98" s="178"/>
      <c r="M98" s="188" t="s">
        <v>15</v>
      </c>
      <c r="N98" s="188" t="s">
        <v>14</v>
      </c>
      <c r="O98" s="188" t="s">
        <v>15</v>
      </c>
      <c r="P98" s="188" t="s">
        <v>14</v>
      </c>
      <c r="Q98" s="188" t="s">
        <v>15</v>
      </c>
      <c r="R98" s="188" t="s">
        <v>14</v>
      </c>
    </row>
    <row r="99" x14ac:dyDescent="0.55000000000000004">
      <c r="A99" s="179">
        <v>2</v>
      </c>
      <c r="B99" s="180" t="s">
        <v>538</v>
      </c>
      <c r="C99" s="181" t="s">
        <v>370</v>
      </c>
      <c r="D99" s="182" t="s">
        <v>664</v>
      </c>
      <c r="E99" s="182" t="s">
        <v>259</v>
      </c>
      <c r="F99" s="182" t="s">
        <v>259</v>
      </c>
      <c r="G99" s="187"/>
      <c r="H99" s="183" t="s">
        <v>163</v>
      </c>
      <c r="I99" s="179"/>
      <c r="J99" s="187"/>
      <c r="K99" s="178"/>
      <c r="M99" s="188" t="s">
        <v>15</v>
      </c>
      <c r="N99" s="188" t="s">
        <v>14</v>
      </c>
      <c r="O99" s="188" t="s">
        <v>15</v>
      </c>
      <c r="P99" s="188" t="s">
        <v>14</v>
      </c>
      <c r="Q99" s="188" t="s">
        <v>15</v>
      </c>
      <c r="R99" s="188" t="s">
        <v>14</v>
      </c>
    </row>
    <row r="100" ht="28.8" x14ac:dyDescent="0.55000000000000004">
      <c r="A100" s="179">
        <v>3</v>
      </c>
      <c r="B100" s="180" t="s">
        <v>255</v>
      </c>
      <c r="C100" s="181" t="s">
        <v>252</v>
      </c>
      <c r="D100" s="182" t="s">
        <v>664</v>
      </c>
      <c r="E100" s="182" t="s">
        <v>251</v>
      </c>
      <c r="F100" s="182" t="s">
        <v>251</v>
      </c>
      <c r="G100" s="184" t="s">
        <v>661</v>
      </c>
      <c r="H100" s="183" t="s">
        <v>169</v>
      </c>
      <c r="I100" s="179"/>
      <c r="J100" s="187" t="s">
        <v>655</v>
      </c>
      <c r="K100" s="178"/>
      <c r="M100" s="188" t="s">
        <v>15</v>
      </c>
      <c r="N100" s="188" t="s">
        <v>14</v>
      </c>
      <c r="O100" s="188" t="s">
        <v>15</v>
      </c>
      <c r="P100" s="188" t="s">
        <v>14</v>
      </c>
      <c r="Q100" s="188" t="s">
        <v>15</v>
      </c>
      <c r="R100" s="188" t="s">
        <v>14</v>
      </c>
    </row>
    <row r="101" ht="72" x14ac:dyDescent="0.55000000000000004">
      <c r="A101" s="179"/>
      <c r="B101" s="180" t="s">
        <v>670</v>
      </c>
      <c r="C101" s="181" t="s">
        <v>252</v>
      </c>
      <c r="D101" s="182" t="s">
        <v>664</v>
      </c>
      <c r="E101" s="182" t="s">
        <v>43</v>
      </c>
      <c r="F101" s="182" t="s">
        <v>43</v>
      </c>
      <c r="G101" s="184" t="s">
        <v>703</v>
      </c>
      <c r="H101" s="183" t="s">
        <v>169</v>
      </c>
      <c r="I101" s="179"/>
      <c r="J101" s="187" t="s">
        <v>702</v>
      </c>
      <c r="K101" s="178"/>
      <c r="M101" s="188"/>
      <c r="N101" s="188"/>
      <c r="O101" s="188"/>
      <c r="P101" s="188"/>
      <c r="Q101" s="188"/>
      <c r="R101" s="188"/>
    </row>
    <row r="102" ht="28.8" x14ac:dyDescent="0.55000000000000004">
      <c r="A102" s="179">
        <v>4</v>
      </c>
      <c r="B102" s="180" t="s">
        <v>255</v>
      </c>
      <c r="C102" s="181" t="s">
        <v>251</v>
      </c>
      <c r="D102" s="182" t="s">
        <v>664</v>
      </c>
      <c r="E102" s="182" t="s">
        <v>178</v>
      </c>
      <c r="F102" s="182" t="s">
        <v>178</v>
      </c>
      <c r="G102" s="184" t="s">
        <v>708</v>
      </c>
      <c r="H102" s="183" t="s">
        <v>169</v>
      </c>
      <c r="I102" s="184" t="s">
        <v>709</v>
      </c>
      <c r="J102" s="187" t="s">
        <v>572</v>
      </c>
      <c r="K102" s="178"/>
      <c r="M102" s="188" t="s">
        <v>15</v>
      </c>
      <c r="N102" s="188" t="s">
        <v>14</v>
      </c>
      <c r="O102" s="188" t="s">
        <v>15</v>
      </c>
      <c r="P102" s="188" t="s">
        <v>14</v>
      </c>
      <c r="Q102" s="188" t="s">
        <v>15</v>
      </c>
      <c r="R102" s="188" t="s">
        <v>14</v>
      </c>
    </row>
    <row r="103" s="59" customFormat="1" ht="43.2" x14ac:dyDescent="0.55000000000000004">
      <c r="A103" s="179">
        <v>5</v>
      </c>
      <c r="B103" s="180" t="s">
        <v>255</v>
      </c>
      <c r="C103" s="181" t="s">
        <v>252</v>
      </c>
      <c r="D103" s="182" t="s">
        <v>664</v>
      </c>
      <c r="E103" s="182" t="s">
        <v>187</v>
      </c>
      <c r="F103" s="182" t="s">
        <v>187</v>
      </c>
      <c r="G103" s="184" t="s">
        <v>710</v>
      </c>
      <c r="H103" s="183" t="s">
        <v>51</v>
      </c>
      <c r="I103" s="184" t="s">
        <v>711</v>
      </c>
      <c r="J103" s="187"/>
      <c r="K103" s="178"/>
      <c r="L103" s="62"/>
      <c r="M103" s="188" t="s">
        <v>14</v>
      </c>
      <c r="N103" s="188" t="s">
        <v>15</v>
      </c>
      <c r="O103" s="188" t="s">
        <v>15</v>
      </c>
      <c r="P103" s="188" t="s">
        <v>14</v>
      </c>
      <c r="Q103" s="188" t="s">
        <v>15</v>
      </c>
      <c r="R103" s="188" t="s">
        <v>14</v>
      </c>
      <c r="S103" s="62"/>
      <c r="T103" s="62"/>
      <c r="U103" s="62"/>
      <c r="V103" s="62"/>
      <c r="W103" s="62"/>
      <c r="X103" s="62"/>
      <c r="Y103" s="62"/>
      <c r="Z103" s="62"/>
      <c r="AA103" s="62"/>
      <c r="AB103" s="62"/>
      <c r="AC103" s="62"/>
    </row>
    <row r="104" ht="43.2" x14ac:dyDescent="0.55000000000000004">
      <c r="A104" s="179">
        <v>6</v>
      </c>
      <c r="B104" s="180" t="s">
        <v>255</v>
      </c>
      <c r="C104" s="181" t="s">
        <v>252</v>
      </c>
      <c r="D104" s="182" t="s">
        <v>664</v>
      </c>
      <c r="E104" s="182" t="s">
        <v>254</v>
      </c>
      <c r="F104" s="182" t="s">
        <v>407</v>
      </c>
      <c r="G104" s="184" t="s">
        <v>712</v>
      </c>
      <c r="H104" s="183" t="s">
        <v>169</v>
      </c>
      <c r="I104" s="184" t="s">
        <v>713</v>
      </c>
      <c r="J104" s="187" t="s">
        <v>660</v>
      </c>
      <c r="K104" s="178"/>
      <c r="M104" s="188" t="s">
        <v>14</v>
      </c>
      <c r="N104" s="188" t="s">
        <v>15</v>
      </c>
      <c r="O104" s="188" t="s">
        <v>15</v>
      </c>
      <c r="P104" s="188" t="s">
        <v>14</v>
      </c>
      <c r="Q104" s="188" t="s">
        <v>15</v>
      </c>
      <c r="R104" s="188" t="s">
        <v>14</v>
      </c>
    </row>
    <row r="105" ht="28.8" x14ac:dyDescent="0.55000000000000004">
      <c r="A105" s="179">
        <v>7</v>
      </c>
      <c r="B105" s="180" t="s">
        <v>255</v>
      </c>
      <c r="C105" s="181" t="s">
        <v>370</v>
      </c>
      <c r="D105" s="182" t="s">
        <v>664</v>
      </c>
      <c r="E105" s="182" t="s">
        <v>3</v>
      </c>
      <c r="F105" s="182" t="s">
        <v>537</v>
      </c>
      <c r="G105" s="184" t="s">
        <v>707</v>
      </c>
      <c r="H105" s="183" t="s">
        <v>52</v>
      </c>
      <c r="I105" s="184" t="s">
        <v>706</v>
      </c>
      <c r="J105" s="187"/>
      <c r="K105" s="178"/>
      <c r="M105" s="188" t="s">
        <v>14</v>
      </c>
      <c r="N105" s="188" t="s">
        <v>15</v>
      </c>
      <c r="O105" s="188" t="s">
        <v>15</v>
      </c>
      <c r="P105" s="188" t="s">
        <v>14</v>
      </c>
      <c r="Q105" s="188" t="s">
        <v>15</v>
      </c>
      <c r="R105" s="188" t="s">
        <v>14</v>
      </c>
    </row>
    <row r="106" ht="43.2" x14ac:dyDescent="0.55000000000000004">
      <c r="A106" s="179">
        <v>8</v>
      </c>
      <c r="B106" s="180" t="s">
        <v>258</v>
      </c>
      <c r="C106" s="181" t="s">
        <v>252</v>
      </c>
      <c r="D106" s="182" t="s">
        <v>664</v>
      </c>
      <c r="E106" s="182" t="s">
        <v>256</v>
      </c>
      <c r="F106" s="182" t="s">
        <v>256</v>
      </c>
      <c r="G106" s="184" t="s">
        <v>704</v>
      </c>
      <c r="H106" s="183" t="s">
        <v>52</v>
      </c>
      <c r="I106" s="184" t="s">
        <v>705</v>
      </c>
      <c r="J106" s="187"/>
      <c r="K106" s="178"/>
      <c r="M106" s="188" t="s">
        <v>15</v>
      </c>
      <c r="N106" s="188" t="s">
        <v>15</v>
      </c>
      <c r="O106" s="188" t="s">
        <v>14</v>
      </c>
      <c r="P106" s="188" t="s">
        <v>15</v>
      </c>
      <c r="Q106" s="188" t="s">
        <v>15</v>
      </c>
      <c r="R106" s="188" t="s">
        <v>14</v>
      </c>
    </row>
    <row r="107" x14ac:dyDescent="0.55000000000000004">
      <c r="A107" s="179">
        <v>9</v>
      </c>
      <c r="B107" s="180" t="s">
        <v>258</v>
      </c>
      <c r="C107" s="181" t="s">
        <v>252</v>
      </c>
      <c r="D107" s="182" t="s">
        <v>664</v>
      </c>
      <c r="E107" s="182" t="s">
        <v>257</v>
      </c>
      <c r="F107" s="182" t="s">
        <v>265</v>
      </c>
      <c r="G107" s="187"/>
      <c r="H107" s="183" t="s">
        <v>51</v>
      </c>
      <c r="I107" s="179"/>
      <c r="J107" s="187"/>
      <c r="K107" s="178"/>
      <c r="M107" s="188" t="s">
        <v>15</v>
      </c>
      <c r="N107" s="188" t="s">
        <v>15</v>
      </c>
      <c r="O107" s="188" t="s">
        <v>14</v>
      </c>
      <c r="P107" s="188" t="s">
        <v>15</v>
      </c>
      <c r="Q107" s="188" t="s">
        <v>15</v>
      </c>
      <c r="R107" s="188" t="s">
        <v>14</v>
      </c>
    </row>
    <row r="108" x14ac:dyDescent="0.55000000000000004">
      <c r="A108" s="179">
        <v>10</v>
      </c>
      <c r="B108" s="180" t="s">
        <v>255</v>
      </c>
      <c r="C108" s="181" t="s">
        <v>356</v>
      </c>
      <c r="D108" s="182" t="s">
        <v>453</v>
      </c>
      <c r="E108" s="182" t="s">
        <v>453</v>
      </c>
      <c r="F108" s="182" t="s">
        <v>453</v>
      </c>
      <c r="G108" s="187"/>
      <c r="H108" s="183" t="s">
        <v>169</v>
      </c>
      <c r="I108" s="179"/>
      <c r="J108" s="187" t="s">
        <v>659</v>
      </c>
      <c r="K108" s="178"/>
      <c r="M108" s="188" t="s">
        <v>15</v>
      </c>
      <c r="N108" s="188" t="s">
        <v>15</v>
      </c>
      <c r="O108" s="188" t="s">
        <v>15</v>
      </c>
      <c r="P108" s="188" t="s">
        <v>15</v>
      </c>
      <c r="Q108" s="188" t="s">
        <v>15</v>
      </c>
      <c r="R108" s="188" t="s">
        <v>14</v>
      </c>
    </row>
    <row r="109" x14ac:dyDescent="0.55000000000000004">
      <c r="A109" s="179">
        <v>11</v>
      </c>
      <c r="B109" s="180" t="s">
        <v>538</v>
      </c>
      <c r="C109" s="181" t="s">
        <v>356</v>
      </c>
      <c r="D109" s="182" t="s">
        <v>454</v>
      </c>
      <c r="E109" s="182" t="s">
        <v>454</v>
      </c>
      <c r="F109" s="182" t="s">
        <v>454</v>
      </c>
      <c r="G109" s="187"/>
      <c r="H109" s="183" t="s">
        <v>169</v>
      </c>
      <c r="I109" s="179"/>
      <c r="J109" s="187" t="s">
        <v>659</v>
      </c>
      <c r="K109" s="178"/>
      <c r="M109" s="188" t="s">
        <v>15</v>
      </c>
      <c r="N109" s="188" t="s">
        <v>15</v>
      </c>
      <c r="O109" s="188" t="s">
        <v>15</v>
      </c>
      <c r="P109" s="188" t="s">
        <v>15</v>
      </c>
      <c r="Q109" s="188" t="s">
        <v>15</v>
      </c>
      <c r="R109" s="188" t="s">
        <v>14</v>
      </c>
    </row>
    <row r="110" x14ac:dyDescent="0.55000000000000004">
      <c r="B110" s="13"/>
      <c r="C110" s="63"/>
      <c r="G110" s="187"/>
      <c r="H110" s="13"/>
      <c r="I110" s="64"/>
      <c r="J110" s="187"/>
      <c r="K110" s="57"/>
      <c r="M110" s="188"/>
      <c r="N110" s="188"/>
      <c r="O110" s="188"/>
      <c r="P110" s="188"/>
    </row>
    <row r="111" ht="27" x14ac:dyDescent="0.55000000000000004">
      <c r="A111" s="66" t="s">
        <v>357</v>
      </c>
      <c r="B111" s="58"/>
      <c r="C111" s="59"/>
      <c r="D111" s="59"/>
      <c r="E111" s="28"/>
      <c r="F111" s="59"/>
      <c r="G111" s="59"/>
      <c r="H111" s="59"/>
      <c r="I111" s="59"/>
      <c r="J111" s="59"/>
      <c r="K111" s="59"/>
    </row>
    <row r="112" ht="121.2" x14ac:dyDescent="0.55000000000000004">
      <c r="A112" s="194" t="s">
        <v>37</v>
      </c>
      <c r="B112" s="194" t="s">
        <v>43</v>
      </c>
      <c r="C112" s="194" t="s">
        <v>44</v>
      </c>
      <c r="D112" s="194" t="s">
        <v>581</v>
      </c>
      <c r="E112" s="194" t="s">
        <v>552</v>
      </c>
      <c r="F112" s="194" t="s">
        <v>553</v>
      </c>
      <c r="G112" s="194" t="s">
        <v>19</v>
      </c>
      <c r="H112" s="194" t="s">
        <v>36</v>
      </c>
      <c r="I112" s="185" t="s">
        <v>554</v>
      </c>
      <c r="J112" s="194" t="s">
        <v>47</v>
      </c>
      <c r="K112" s="186" t="s">
        <v>101</v>
      </c>
      <c r="L112" s="186" t="s">
        <v>555</v>
      </c>
      <c r="M112" s="186" t="s">
        <v>556</v>
      </c>
      <c r="N112" s="186" t="s">
        <v>657</v>
      </c>
      <c r="O112" s="186" t="s">
        <v>557</v>
      </c>
      <c r="P112" s="186" t="s">
        <v>722</v>
      </c>
      <c r="Q112" s="186" t="s">
        <v>700</v>
      </c>
      <c r="R112" s="186" t="s">
        <v>701</v>
      </c>
    </row>
    <row r="113" ht="28.8" x14ac:dyDescent="0.55000000000000004">
      <c r="A113" s="179">
        <v>1</v>
      </c>
      <c r="B113" s="180" t="s">
        <v>255</v>
      </c>
      <c r="C113" s="181" t="s">
        <v>370</v>
      </c>
      <c r="D113" s="182" t="s">
        <v>665</v>
      </c>
      <c r="E113" s="182" t="s">
        <v>208</v>
      </c>
      <c r="F113" s="182" t="s">
        <v>208</v>
      </c>
      <c r="G113" s="187"/>
      <c r="H113" s="183" t="s">
        <v>169</v>
      </c>
      <c r="I113" s="179"/>
      <c r="J113" s="187" t="s">
        <v>558</v>
      </c>
      <c r="K113" s="178"/>
      <c r="M113" s="188" t="s">
        <v>15</v>
      </c>
      <c r="N113" s="188" t="s">
        <v>14</v>
      </c>
      <c r="O113" s="188" t="s">
        <v>15</v>
      </c>
      <c r="P113" s="188" t="s">
        <v>14</v>
      </c>
      <c r="Q113" s="205" t="s">
        <v>15</v>
      </c>
      <c r="R113" s="205" t="s">
        <v>14</v>
      </c>
    </row>
    <row r="114" x14ac:dyDescent="0.55000000000000004">
      <c r="A114" s="179">
        <v>2</v>
      </c>
      <c r="B114" s="180" t="s">
        <v>538</v>
      </c>
      <c r="C114" s="181" t="s">
        <v>370</v>
      </c>
      <c r="D114" s="182" t="s">
        <v>665</v>
      </c>
      <c r="E114" s="182" t="s">
        <v>259</v>
      </c>
      <c r="F114" s="182" t="s">
        <v>259</v>
      </c>
      <c r="G114" s="187"/>
      <c r="H114" s="183" t="s">
        <v>163</v>
      </c>
      <c r="I114" s="179"/>
      <c r="J114" s="187"/>
      <c r="K114" s="178"/>
      <c r="M114" s="188" t="s">
        <v>15</v>
      </c>
      <c r="N114" s="188" t="s">
        <v>14</v>
      </c>
      <c r="O114" s="188" t="s">
        <v>15</v>
      </c>
      <c r="P114" s="188" t="s">
        <v>14</v>
      </c>
      <c r="Q114" s="205" t="s">
        <v>15</v>
      </c>
      <c r="R114" s="205" t="s">
        <v>14</v>
      </c>
    </row>
    <row r="115" ht="28.8" x14ac:dyDescent="0.55000000000000004">
      <c r="A115" s="179">
        <v>3</v>
      </c>
      <c r="B115" s="180" t="s">
        <v>255</v>
      </c>
      <c r="C115" s="181" t="s">
        <v>252</v>
      </c>
      <c r="D115" s="182" t="s">
        <v>665</v>
      </c>
      <c r="E115" s="182" t="s">
        <v>251</v>
      </c>
      <c r="F115" s="182" t="s">
        <v>251</v>
      </c>
      <c r="G115" s="184" t="s">
        <v>661</v>
      </c>
      <c r="H115" s="183" t="s">
        <v>169</v>
      </c>
      <c r="I115" s="179"/>
      <c r="J115" s="187" t="s">
        <v>655</v>
      </c>
      <c r="K115" s="178"/>
      <c r="M115" s="188" t="s">
        <v>15</v>
      </c>
      <c r="N115" s="188" t="s">
        <v>14</v>
      </c>
      <c r="O115" s="188" t="s">
        <v>15</v>
      </c>
      <c r="P115" s="188" t="s">
        <v>14</v>
      </c>
      <c r="Q115" s="205" t="s">
        <v>15</v>
      </c>
      <c r="R115" s="205" t="s">
        <v>14</v>
      </c>
    </row>
    <row r="116" ht="72" x14ac:dyDescent="0.55000000000000004">
      <c r="A116" s="179"/>
      <c r="B116" s="180" t="s">
        <v>670</v>
      </c>
      <c r="C116" s="181" t="s">
        <v>252</v>
      </c>
      <c r="D116" s="182" t="s">
        <v>664</v>
      </c>
      <c r="E116" s="182" t="s">
        <v>43</v>
      </c>
      <c r="F116" s="182" t="s">
        <v>43</v>
      </c>
      <c r="G116" s="184" t="s">
        <v>703</v>
      </c>
      <c r="H116" s="183" t="s">
        <v>169</v>
      </c>
      <c r="I116" s="179"/>
      <c r="J116" s="187" t="s">
        <v>702</v>
      </c>
      <c r="K116" s="178"/>
      <c r="M116" s="188"/>
      <c r="N116" s="188"/>
      <c r="O116" s="188"/>
      <c r="P116" s="188"/>
      <c r="Q116" s="205"/>
      <c r="R116" s="205"/>
    </row>
    <row r="117" ht="28.8" x14ac:dyDescent="0.55000000000000004">
      <c r="A117" s="179">
        <v>4</v>
      </c>
      <c r="B117" s="180" t="s">
        <v>255</v>
      </c>
      <c r="C117" s="181" t="s">
        <v>251</v>
      </c>
      <c r="D117" s="182" t="s">
        <v>665</v>
      </c>
      <c r="E117" s="182" t="s">
        <v>178</v>
      </c>
      <c r="F117" s="182" t="s">
        <v>178</v>
      </c>
      <c r="G117" s="184" t="s">
        <v>708</v>
      </c>
      <c r="H117" s="183" t="s">
        <v>169</v>
      </c>
      <c r="I117" s="184" t="s">
        <v>709</v>
      </c>
      <c r="J117" s="187" t="s">
        <v>572</v>
      </c>
      <c r="K117" s="178"/>
      <c r="M117" s="188" t="s">
        <v>15</v>
      </c>
      <c r="N117" s="188" t="s">
        <v>14</v>
      </c>
      <c r="O117" s="188" t="s">
        <v>15</v>
      </c>
      <c r="P117" s="188" t="s">
        <v>14</v>
      </c>
      <c r="Q117" s="205" t="s">
        <v>15</v>
      </c>
      <c r="R117" s="205" t="s">
        <v>14</v>
      </c>
    </row>
    <row r="118" s="59" customFormat="1" ht="43.2" x14ac:dyDescent="0.55000000000000004">
      <c r="A118" s="179">
        <v>5</v>
      </c>
      <c r="B118" s="180" t="s">
        <v>255</v>
      </c>
      <c r="C118" s="181" t="s">
        <v>252</v>
      </c>
      <c r="D118" s="182" t="s">
        <v>665</v>
      </c>
      <c r="E118" s="182" t="s">
        <v>187</v>
      </c>
      <c r="F118" s="182" t="s">
        <v>187</v>
      </c>
      <c r="G118" s="184" t="s">
        <v>710</v>
      </c>
      <c r="H118" s="183" t="s">
        <v>51</v>
      </c>
      <c r="I118" s="184" t="s">
        <v>711</v>
      </c>
      <c r="J118" s="187"/>
      <c r="K118" s="178"/>
      <c r="L118" s="62"/>
      <c r="M118" s="188" t="s">
        <v>14</v>
      </c>
      <c r="N118" s="188" t="s">
        <v>15</v>
      </c>
      <c r="O118" s="188" t="s">
        <v>15</v>
      </c>
      <c r="P118" s="188" t="s">
        <v>14</v>
      </c>
      <c r="Q118" s="205" t="s">
        <v>15</v>
      </c>
      <c r="R118" s="205" t="s">
        <v>14</v>
      </c>
      <c r="S118" s="62"/>
      <c r="T118" s="62"/>
      <c r="U118" s="62"/>
      <c r="V118" s="62"/>
      <c r="W118" s="62"/>
      <c r="X118" s="62"/>
      <c r="Y118" s="62"/>
      <c r="Z118" s="62"/>
      <c r="AA118" s="62"/>
    </row>
    <row r="119" ht="43.2" x14ac:dyDescent="0.55000000000000004">
      <c r="A119" s="179">
        <v>6</v>
      </c>
      <c r="B119" s="180" t="s">
        <v>255</v>
      </c>
      <c r="C119" s="181" t="s">
        <v>252</v>
      </c>
      <c r="D119" s="182" t="s">
        <v>665</v>
      </c>
      <c r="E119" s="182" t="s">
        <v>254</v>
      </c>
      <c r="F119" s="182" t="s">
        <v>407</v>
      </c>
      <c r="G119" s="184" t="s">
        <v>712</v>
      </c>
      <c r="H119" s="183" t="s">
        <v>169</v>
      </c>
      <c r="I119" s="184" t="s">
        <v>713</v>
      </c>
      <c r="J119" s="187" t="s">
        <v>660</v>
      </c>
      <c r="K119" s="178"/>
      <c r="M119" s="188" t="s">
        <v>14</v>
      </c>
      <c r="N119" s="188" t="s">
        <v>15</v>
      </c>
      <c r="O119" s="188" t="s">
        <v>15</v>
      </c>
      <c r="P119" s="188" t="s">
        <v>14</v>
      </c>
      <c r="Q119" s="205" t="s">
        <v>15</v>
      </c>
      <c r="R119" s="205" t="s">
        <v>14</v>
      </c>
    </row>
    <row r="120" ht="28.8" x14ac:dyDescent="0.55000000000000004">
      <c r="A120" s="179">
        <v>7</v>
      </c>
      <c r="B120" s="180" t="s">
        <v>255</v>
      </c>
      <c r="C120" s="181" t="s">
        <v>370</v>
      </c>
      <c r="D120" s="182" t="s">
        <v>665</v>
      </c>
      <c r="E120" s="182" t="s">
        <v>3</v>
      </c>
      <c r="F120" s="182" t="s">
        <v>537</v>
      </c>
      <c r="G120" s="184" t="s">
        <v>707</v>
      </c>
      <c r="H120" s="183" t="s">
        <v>52</v>
      </c>
      <c r="I120" s="184" t="s">
        <v>706</v>
      </c>
      <c r="J120" s="187"/>
      <c r="K120" s="178"/>
      <c r="M120" s="188" t="s">
        <v>14</v>
      </c>
      <c r="N120" s="188" t="s">
        <v>15</v>
      </c>
      <c r="O120" s="188" t="s">
        <v>15</v>
      </c>
      <c r="P120" s="188" t="s">
        <v>14</v>
      </c>
      <c r="Q120" s="205" t="s">
        <v>15</v>
      </c>
      <c r="R120" s="205" t="s">
        <v>14</v>
      </c>
    </row>
    <row r="121" ht="43.2" x14ac:dyDescent="0.55000000000000004">
      <c r="A121" s="179">
        <v>8</v>
      </c>
      <c r="B121" s="180" t="s">
        <v>258</v>
      </c>
      <c r="C121" s="181" t="s">
        <v>252</v>
      </c>
      <c r="D121" s="182" t="s">
        <v>665</v>
      </c>
      <c r="E121" s="182" t="s">
        <v>256</v>
      </c>
      <c r="F121" s="182" t="s">
        <v>256</v>
      </c>
      <c r="G121" s="184" t="s">
        <v>704</v>
      </c>
      <c r="H121" s="183" t="s">
        <v>52</v>
      </c>
      <c r="I121" s="184" t="s">
        <v>705</v>
      </c>
      <c r="J121" s="187"/>
      <c r="K121" s="178"/>
      <c r="M121" s="188" t="s">
        <v>15</v>
      </c>
      <c r="N121" s="188" t="s">
        <v>15</v>
      </c>
      <c r="O121" s="188" t="s">
        <v>14</v>
      </c>
      <c r="P121" s="188" t="s">
        <v>15</v>
      </c>
      <c r="Q121" s="205" t="s">
        <v>15</v>
      </c>
      <c r="R121" s="205" t="s">
        <v>14</v>
      </c>
    </row>
    <row r="122" x14ac:dyDescent="0.55000000000000004">
      <c r="A122" s="179">
        <v>9</v>
      </c>
      <c r="B122" s="180" t="s">
        <v>258</v>
      </c>
      <c r="C122" s="181" t="s">
        <v>252</v>
      </c>
      <c r="D122" s="182" t="s">
        <v>665</v>
      </c>
      <c r="E122" s="182" t="s">
        <v>257</v>
      </c>
      <c r="F122" s="182" t="s">
        <v>265</v>
      </c>
      <c r="G122" s="187"/>
      <c r="H122" s="183" t="s">
        <v>51</v>
      </c>
      <c r="I122" s="179"/>
      <c r="J122" s="187"/>
      <c r="K122" s="178"/>
      <c r="M122" s="188" t="s">
        <v>15</v>
      </c>
      <c r="N122" s="188" t="s">
        <v>15</v>
      </c>
      <c r="O122" s="188" t="s">
        <v>14</v>
      </c>
      <c r="P122" s="188" t="s">
        <v>15</v>
      </c>
      <c r="Q122" s="205" t="s">
        <v>15</v>
      </c>
      <c r="R122" s="205" t="s">
        <v>14</v>
      </c>
    </row>
    <row r="123" x14ac:dyDescent="0.55000000000000004">
      <c r="A123" s="179">
        <v>10</v>
      </c>
      <c r="B123" s="180" t="s">
        <v>255</v>
      </c>
      <c r="C123" s="181" t="s">
        <v>357</v>
      </c>
      <c r="D123" s="182" t="s">
        <v>453</v>
      </c>
      <c r="E123" s="182" t="s">
        <v>453</v>
      </c>
      <c r="F123" s="182" t="s">
        <v>453</v>
      </c>
      <c r="G123" s="187"/>
      <c r="H123" s="183" t="s">
        <v>169</v>
      </c>
      <c r="I123" s="179"/>
      <c r="J123" s="187" t="s">
        <v>659</v>
      </c>
      <c r="K123" s="178"/>
      <c r="M123" s="188" t="s">
        <v>15</v>
      </c>
      <c r="N123" s="188" t="s">
        <v>15</v>
      </c>
      <c r="O123" s="188" t="s">
        <v>15</v>
      </c>
      <c r="P123" s="188" t="s">
        <v>15</v>
      </c>
      <c r="Q123" s="205" t="s">
        <v>15</v>
      </c>
      <c r="R123" s="205" t="s">
        <v>14</v>
      </c>
    </row>
    <row r="124" x14ac:dyDescent="0.55000000000000004">
      <c r="A124" s="179">
        <v>11</v>
      </c>
      <c r="B124" s="180" t="s">
        <v>538</v>
      </c>
      <c r="C124" s="181" t="s">
        <v>357</v>
      </c>
      <c r="D124" s="182" t="s">
        <v>454</v>
      </c>
      <c r="E124" s="182" t="s">
        <v>454</v>
      </c>
      <c r="F124" s="182" t="s">
        <v>454</v>
      </c>
      <c r="G124" s="187"/>
      <c r="H124" s="183" t="s">
        <v>169</v>
      </c>
      <c r="I124" s="179"/>
      <c r="J124" s="187" t="s">
        <v>659</v>
      </c>
      <c r="K124" s="178"/>
      <c r="M124" s="188" t="s">
        <v>15</v>
      </c>
      <c r="N124" s="188" t="s">
        <v>15</v>
      </c>
      <c r="O124" s="188" t="s">
        <v>15</v>
      </c>
      <c r="P124" s="188" t="s">
        <v>15</v>
      </c>
      <c r="Q124" s="205" t="s">
        <v>15</v>
      </c>
      <c r="R124" s="205" t="s">
        <v>14</v>
      </c>
    </row>
    <row r="125" x14ac:dyDescent="0.55000000000000004">
      <c r="B125" s="13"/>
      <c r="C125" s="63"/>
      <c r="G125" s="187"/>
      <c r="H125" s="13"/>
      <c r="I125" s="64"/>
      <c r="J125" s="187"/>
      <c r="K125" s="57"/>
      <c r="M125" s="188"/>
      <c r="N125" s="188"/>
      <c r="O125" s="188"/>
      <c r="P125" s="188"/>
    </row>
    <row r="126" ht="27" x14ac:dyDescent="0.55000000000000004">
      <c r="A126" s="66" t="s">
        <v>361</v>
      </c>
      <c r="B126" s="58"/>
      <c r="C126" s="59"/>
      <c r="D126" s="59"/>
      <c r="E126" s="28"/>
      <c r="F126" s="59"/>
      <c r="G126" s="59"/>
      <c r="H126" s="59"/>
      <c r="I126" s="59"/>
      <c r="J126" s="59"/>
      <c r="K126" s="59"/>
    </row>
    <row r="127" ht="121.2" x14ac:dyDescent="0.55000000000000004">
      <c r="A127" s="194" t="s">
        <v>37</v>
      </c>
      <c r="B127" s="194" t="s">
        <v>43</v>
      </c>
      <c r="C127" s="194" t="s">
        <v>44</v>
      </c>
      <c r="D127" s="194" t="s">
        <v>581</v>
      </c>
      <c r="E127" s="194" t="s">
        <v>552</v>
      </c>
      <c r="F127" s="194" t="s">
        <v>553</v>
      </c>
      <c r="G127" s="194" t="s">
        <v>19</v>
      </c>
      <c r="H127" s="194" t="s">
        <v>36</v>
      </c>
      <c r="I127" s="185" t="s">
        <v>554</v>
      </c>
      <c r="J127" s="194" t="s">
        <v>47</v>
      </c>
      <c r="K127" s="186" t="s">
        <v>101</v>
      </c>
      <c r="L127" s="186" t="s">
        <v>555</v>
      </c>
      <c r="M127" s="186" t="s">
        <v>556</v>
      </c>
      <c r="N127" s="186" t="s">
        <v>657</v>
      </c>
      <c r="O127" s="186" t="s">
        <v>557</v>
      </c>
      <c r="P127" s="186" t="s">
        <v>722</v>
      </c>
      <c r="Q127" s="207" t="s">
        <v>700</v>
      </c>
      <c r="R127" s="207" t="s">
        <v>701</v>
      </c>
    </row>
    <row r="128" ht="28.8" x14ac:dyDescent="0.55000000000000004">
      <c r="A128" s="179">
        <v>1</v>
      </c>
      <c r="B128" s="180" t="s">
        <v>255</v>
      </c>
      <c r="C128" s="181" t="s">
        <v>370</v>
      </c>
      <c r="D128" s="182" t="s">
        <v>666</v>
      </c>
      <c r="E128" s="182" t="s">
        <v>208</v>
      </c>
      <c r="F128" s="182" t="s">
        <v>208</v>
      </c>
      <c r="G128" s="187"/>
      <c r="H128" s="183" t="s">
        <v>169</v>
      </c>
      <c r="I128" s="179"/>
      <c r="J128" s="187" t="s">
        <v>558</v>
      </c>
      <c r="K128" s="178"/>
      <c r="M128" s="188" t="s">
        <v>15</v>
      </c>
      <c r="N128" s="188" t="s">
        <v>14</v>
      </c>
      <c r="O128" s="188" t="s">
        <v>15</v>
      </c>
      <c r="P128" s="188" t="s">
        <v>14</v>
      </c>
      <c r="Q128" s="208" t="s">
        <v>15</v>
      </c>
      <c r="R128" s="208" t="s">
        <v>14</v>
      </c>
    </row>
    <row r="129" x14ac:dyDescent="0.55000000000000004">
      <c r="A129" s="179">
        <v>2</v>
      </c>
      <c r="B129" s="180" t="s">
        <v>538</v>
      </c>
      <c r="C129" s="181" t="s">
        <v>370</v>
      </c>
      <c r="D129" s="182" t="s">
        <v>666</v>
      </c>
      <c r="E129" s="182" t="s">
        <v>259</v>
      </c>
      <c r="F129" s="182" t="s">
        <v>259</v>
      </c>
      <c r="G129" s="187"/>
      <c r="H129" s="183" t="s">
        <v>163</v>
      </c>
      <c r="I129" s="179"/>
      <c r="J129" s="187"/>
      <c r="K129" s="178"/>
      <c r="M129" s="188" t="s">
        <v>15</v>
      </c>
      <c r="N129" s="188" t="s">
        <v>14</v>
      </c>
      <c r="O129" s="188" t="s">
        <v>15</v>
      </c>
      <c r="P129" s="188" t="s">
        <v>14</v>
      </c>
      <c r="Q129" s="209" t="s">
        <v>15</v>
      </c>
      <c r="R129" s="209" t="s">
        <v>14</v>
      </c>
    </row>
    <row r="130" ht="28.8" x14ac:dyDescent="0.55000000000000004">
      <c r="A130" s="179">
        <v>3</v>
      </c>
      <c r="B130" s="180" t="s">
        <v>255</v>
      </c>
      <c r="C130" s="181" t="s">
        <v>252</v>
      </c>
      <c r="D130" s="182" t="s">
        <v>666</v>
      </c>
      <c r="E130" s="182" t="s">
        <v>251</v>
      </c>
      <c r="F130" s="182" t="s">
        <v>251</v>
      </c>
      <c r="G130" s="184" t="s">
        <v>661</v>
      </c>
      <c r="H130" s="183" t="s">
        <v>169</v>
      </c>
      <c r="I130" s="179"/>
      <c r="J130" s="187" t="s">
        <v>655</v>
      </c>
      <c r="K130" s="178"/>
      <c r="M130" s="188" t="s">
        <v>15</v>
      </c>
      <c r="N130" s="188" t="s">
        <v>14</v>
      </c>
      <c r="O130" s="188" t="s">
        <v>15</v>
      </c>
      <c r="P130" s="188" t="s">
        <v>14</v>
      </c>
      <c r="Q130" s="208" t="s">
        <v>15</v>
      </c>
      <c r="R130" s="208" t="s">
        <v>14</v>
      </c>
    </row>
    <row r="131" ht="28.8" x14ac:dyDescent="0.55000000000000004">
      <c r="A131" s="179">
        <v>4</v>
      </c>
      <c r="B131" s="180" t="s">
        <v>255</v>
      </c>
      <c r="C131" s="181" t="s">
        <v>251</v>
      </c>
      <c r="D131" s="182" t="s">
        <v>666</v>
      </c>
      <c r="E131" s="182" t="s">
        <v>178</v>
      </c>
      <c r="F131" s="182" t="s">
        <v>178</v>
      </c>
      <c r="G131" s="184" t="s">
        <v>708</v>
      </c>
      <c r="H131" s="183" t="s">
        <v>169</v>
      </c>
      <c r="I131" s="184" t="s">
        <v>709</v>
      </c>
      <c r="J131" s="187"/>
      <c r="K131" s="178"/>
      <c r="M131" s="188" t="s">
        <v>15</v>
      </c>
      <c r="N131" s="188" t="s">
        <v>14</v>
      </c>
      <c r="O131" s="188" t="s">
        <v>15</v>
      </c>
      <c r="P131" s="188" t="s">
        <v>14</v>
      </c>
      <c r="Q131" s="209"/>
      <c r="R131" s="209"/>
    </row>
    <row r="132" s="59" customFormat="1" ht="43.2" x14ac:dyDescent="0.55000000000000004">
      <c r="A132" s="179">
        <v>5</v>
      </c>
      <c r="B132" s="180" t="s">
        <v>255</v>
      </c>
      <c r="C132" s="181" t="s">
        <v>252</v>
      </c>
      <c r="D132" s="182" t="s">
        <v>666</v>
      </c>
      <c r="E132" s="182" t="s">
        <v>187</v>
      </c>
      <c r="F132" s="182" t="s">
        <v>187</v>
      </c>
      <c r="G132" s="184" t="s">
        <v>710</v>
      </c>
      <c r="H132" s="183" t="s">
        <v>51</v>
      </c>
      <c r="I132" s="184" t="s">
        <v>711</v>
      </c>
      <c r="J132" s="187"/>
      <c r="K132" s="178"/>
      <c r="L132" s="62"/>
      <c r="M132" s="188" t="s">
        <v>14</v>
      </c>
      <c r="N132" s="188" t="s">
        <v>15</v>
      </c>
      <c r="O132" s="188" t="s">
        <v>15</v>
      </c>
      <c r="P132" s="188" t="s">
        <v>14</v>
      </c>
      <c r="Q132" s="208" t="s">
        <v>15</v>
      </c>
      <c r="R132" s="208" t="s">
        <v>14</v>
      </c>
      <c r="S132" s="62"/>
      <c r="T132" s="62"/>
      <c r="U132" s="62"/>
      <c r="V132" s="62"/>
      <c r="W132" s="62"/>
      <c r="X132" s="62"/>
      <c r="Y132" s="62"/>
      <c r="Z132" s="62"/>
      <c r="AA132" s="62"/>
    </row>
    <row r="133" ht="43.2" x14ac:dyDescent="0.55000000000000004">
      <c r="A133" s="179">
        <v>6</v>
      </c>
      <c r="B133" s="180" t="s">
        <v>255</v>
      </c>
      <c r="C133" s="181" t="s">
        <v>252</v>
      </c>
      <c r="D133" s="182" t="s">
        <v>666</v>
      </c>
      <c r="E133" s="182" t="s">
        <v>254</v>
      </c>
      <c r="F133" s="182" t="s">
        <v>407</v>
      </c>
      <c r="G133" s="184" t="s">
        <v>712</v>
      </c>
      <c r="H133" s="183" t="s">
        <v>169</v>
      </c>
      <c r="I133" s="184" t="s">
        <v>713</v>
      </c>
      <c r="J133" s="187" t="s">
        <v>660</v>
      </c>
      <c r="K133" s="178"/>
      <c r="M133" s="188" t="s">
        <v>14</v>
      </c>
      <c r="N133" s="188" t="s">
        <v>15</v>
      </c>
      <c r="O133" s="188" t="s">
        <v>15</v>
      </c>
      <c r="P133" s="188" t="s">
        <v>14</v>
      </c>
      <c r="Q133" s="209" t="s">
        <v>15</v>
      </c>
      <c r="R133" s="209" t="s">
        <v>14</v>
      </c>
    </row>
    <row r="134" ht="28.8" x14ac:dyDescent="0.55000000000000004">
      <c r="A134" s="179">
        <v>7</v>
      </c>
      <c r="B134" s="180" t="s">
        <v>255</v>
      </c>
      <c r="C134" s="181" t="s">
        <v>370</v>
      </c>
      <c r="D134" s="182" t="s">
        <v>666</v>
      </c>
      <c r="E134" s="182" t="s">
        <v>3</v>
      </c>
      <c r="F134" s="182" t="s">
        <v>537</v>
      </c>
      <c r="G134" s="184" t="s">
        <v>707</v>
      </c>
      <c r="H134" s="183" t="s">
        <v>52</v>
      </c>
      <c r="I134" s="184" t="s">
        <v>706</v>
      </c>
      <c r="J134" s="187"/>
      <c r="K134" s="178"/>
      <c r="M134" s="188" t="s">
        <v>14</v>
      </c>
      <c r="N134" s="188" t="s">
        <v>15</v>
      </c>
      <c r="O134" s="188" t="s">
        <v>15</v>
      </c>
      <c r="P134" s="188" t="s">
        <v>14</v>
      </c>
      <c r="Q134" s="208" t="s">
        <v>15</v>
      </c>
      <c r="R134" s="208" t="s">
        <v>14</v>
      </c>
    </row>
    <row r="135" ht="43.2" x14ac:dyDescent="0.55000000000000004">
      <c r="A135" s="179">
        <v>8</v>
      </c>
      <c r="B135" s="180" t="s">
        <v>258</v>
      </c>
      <c r="C135" s="181" t="s">
        <v>252</v>
      </c>
      <c r="D135" s="182" t="s">
        <v>666</v>
      </c>
      <c r="E135" s="182" t="s">
        <v>256</v>
      </c>
      <c r="F135" s="182" t="s">
        <v>256</v>
      </c>
      <c r="G135" s="184" t="s">
        <v>704</v>
      </c>
      <c r="H135" s="183" t="s">
        <v>52</v>
      </c>
      <c r="I135" s="184" t="s">
        <v>705</v>
      </c>
      <c r="J135" s="187"/>
      <c r="K135" s="178"/>
      <c r="M135" s="188" t="s">
        <v>15</v>
      </c>
      <c r="N135" s="188" t="s">
        <v>15</v>
      </c>
      <c r="O135" s="188" t="s">
        <v>14</v>
      </c>
      <c r="P135" s="188" t="s">
        <v>15</v>
      </c>
      <c r="Q135" s="209" t="s">
        <v>15</v>
      </c>
      <c r="R135" s="209" t="s">
        <v>14</v>
      </c>
    </row>
    <row r="136" x14ac:dyDescent="0.55000000000000004">
      <c r="A136" s="179">
        <v>9</v>
      </c>
      <c r="B136" s="180" t="s">
        <v>258</v>
      </c>
      <c r="C136" s="181" t="s">
        <v>252</v>
      </c>
      <c r="D136" s="182" t="s">
        <v>666</v>
      </c>
      <c r="E136" s="182" t="s">
        <v>257</v>
      </c>
      <c r="F136" s="182" t="s">
        <v>265</v>
      </c>
      <c r="G136" s="187"/>
      <c r="H136" s="183" t="s">
        <v>51</v>
      </c>
      <c r="I136" s="179"/>
      <c r="J136" s="187"/>
      <c r="K136" s="178"/>
      <c r="M136" s="188" t="s">
        <v>15</v>
      </c>
      <c r="N136" s="188" t="s">
        <v>15</v>
      </c>
      <c r="O136" s="188" t="s">
        <v>14</v>
      </c>
      <c r="P136" s="188" t="s">
        <v>15</v>
      </c>
      <c r="Q136" s="208" t="s">
        <v>15</v>
      </c>
      <c r="R136" s="208" t="s">
        <v>14</v>
      </c>
    </row>
    <row r="137" x14ac:dyDescent="0.55000000000000004">
      <c r="A137" s="179">
        <v>10</v>
      </c>
      <c r="B137" s="180" t="s">
        <v>255</v>
      </c>
      <c r="C137" s="181" t="s">
        <v>361</v>
      </c>
      <c r="D137" s="182" t="s">
        <v>453</v>
      </c>
      <c r="E137" s="182" t="s">
        <v>453</v>
      </c>
      <c r="F137" s="182" t="s">
        <v>453</v>
      </c>
      <c r="G137" s="187"/>
      <c r="H137" s="183" t="s">
        <v>169</v>
      </c>
      <c r="I137" s="179"/>
      <c r="J137" s="187" t="s">
        <v>659</v>
      </c>
      <c r="K137" s="178"/>
      <c r="M137" s="188" t="s">
        <v>15</v>
      </c>
      <c r="N137" s="188" t="s">
        <v>15</v>
      </c>
      <c r="O137" s="188" t="s">
        <v>15</v>
      </c>
      <c r="P137" s="188" t="s">
        <v>15</v>
      </c>
      <c r="Q137" s="209" t="s">
        <v>15</v>
      </c>
      <c r="R137" s="209" t="s">
        <v>14</v>
      </c>
    </row>
    <row r="138" x14ac:dyDescent="0.55000000000000004">
      <c r="A138" s="179">
        <v>11</v>
      </c>
      <c r="B138" s="180" t="s">
        <v>538</v>
      </c>
      <c r="C138" s="181" t="s">
        <v>361</v>
      </c>
      <c r="D138" s="182" t="s">
        <v>454</v>
      </c>
      <c r="E138" s="182" t="s">
        <v>454</v>
      </c>
      <c r="F138" s="182" t="s">
        <v>454</v>
      </c>
      <c r="G138" s="187"/>
      <c r="H138" s="183" t="s">
        <v>169</v>
      </c>
      <c r="I138" s="179"/>
      <c r="J138" s="187" t="s">
        <v>659</v>
      </c>
      <c r="K138" s="178"/>
      <c r="M138" s="188" t="s">
        <v>15</v>
      </c>
      <c r="N138" s="188" t="s">
        <v>15</v>
      </c>
      <c r="O138" s="188" t="s">
        <v>15</v>
      </c>
      <c r="P138" s="188" t="s">
        <v>15</v>
      </c>
      <c r="Q138" s="208" t="s">
        <v>15</v>
      </c>
      <c r="R138" s="208" t="s">
        <v>14</v>
      </c>
    </row>
    <row r="139" x14ac:dyDescent="0.55000000000000004">
      <c r="B139" s="13"/>
      <c r="C139" s="63"/>
      <c r="G139" s="187"/>
      <c r="H139" s="13"/>
      <c r="I139" s="64"/>
      <c r="J139" s="187"/>
      <c r="K139" s="57"/>
      <c r="M139" s="188"/>
      <c r="N139" s="188"/>
      <c r="O139" s="188"/>
      <c r="P139" s="188"/>
      <c r="Q139" s="188"/>
      <c r="R139" s="188"/>
    </row>
    <row r="140" ht="27" x14ac:dyDescent="0.55000000000000004">
      <c r="A140" s="66" t="s">
        <v>363</v>
      </c>
      <c r="B140" s="58"/>
      <c r="C140" s="59"/>
      <c r="D140" s="59"/>
      <c r="E140" s="28"/>
      <c r="F140" s="59"/>
      <c r="G140" s="59"/>
      <c r="H140" s="59"/>
      <c r="I140" s="59"/>
      <c r="J140" s="59"/>
      <c r="K140" s="59"/>
    </row>
    <row r="141" ht="121.2" x14ac:dyDescent="0.55000000000000004">
      <c r="A141" s="194" t="s">
        <v>37</v>
      </c>
      <c r="B141" s="194" t="s">
        <v>43</v>
      </c>
      <c r="C141" s="194" t="s">
        <v>44</v>
      </c>
      <c r="D141" s="194" t="s">
        <v>581</v>
      </c>
      <c r="E141" s="194" t="s">
        <v>552</v>
      </c>
      <c r="F141" s="194" t="s">
        <v>553</v>
      </c>
      <c r="G141" s="194" t="s">
        <v>19</v>
      </c>
      <c r="H141" s="194" t="s">
        <v>36</v>
      </c>
      <c r="I141" s="185" t="s">
        <v>554</v>
      </c>
      <c r="J141" s="194" t="s">
        <v>47</v>
      </c>
      <c r="K141" s="186" t="s">
        <v>101</v>
      </c>
      <c r="L141" s="186" t="s">
        <v>555</v>
      </c>
      <c r="M141" s="186" t="s">
        <v>556</v>
      </c>
      <c r="N141" s="186" t="s">
        <v>657</v>
      </c>
      <c r="O141" s="186" t="s">
        <v>557</v>
      </c>
      <c r="P141" s="186" t="s">
        <v>722</v>
      </c>
      <c r="Q141" s="207" t="s">
        <v>700</v>
      </c>
      <c r="R141" s="207" t="s">
        <v>701</v>
      </c>
    </row>
    <row r="142" ht="28.8" x14ac:dyDescent="0.55000000000000004">
      <c r="A142" s="179">
        <v>1</v>
      </c>
      <c r="B142" s="180" t="s">
        <v>255</v>
      </c>
      <c r="C142" s="181" t="s">
        <v>370</v>
      </c>
      <c r="D142" s="182" t="s">
        <v>667</v>
      </c>
      <c r="E142" s="182" t="s">
        <v>208</v>
      </c>
      <c r="F142" s="182" t="s">
        <v>208</v>
      </c>
      <c r="G142" s="187"/>
      <c r="H142" s="183" t="s">
        <v>169</v>
      </c>
      <c r="I142" s="179"/>
      <c r="J142" s="187" t="s">
        <v>558</v>
      </c>
      <c r="K142" s="178"/>
      <c r="M142" s="188" t="s">
        <v>15</v>
      </c>
      <c r="N142" s="188" t="s">
        <v>14</v>
      </c>
      <c r="O142" s="188" t="s">
        <v>15</v>
      </c>
      <c r="P142" s="188" t="s">
        <v>14</v>
      </c>
      <c r="Q142" s="208" t="s">
        <v>15</v>
      </c>
      <c r="R142" s="208" t="s">
        <v>14</v>
      </c>
    </row>
    <row r="143" x14ac:dyDescent="0.55000000000000004">
      <c r="A143" s="179">
        <v>2</v>
      </c>
      <c r="B143" s="180" t="s">
        <v>538</v>
      </c>
      <c r="C143" s="181" t="s">
        <v>370</v>
      </c>
      <c r="D143" s="182" t="s">
        <v>667</v>
      </c>
      <c r="E143" s="182" t="s">
        <v>259</v>
      </c>
      <c r="F143" s="182" t="s">
        <v>259</v>
      </c>
      <c r="G143" s="187"/>
      <c r="H143" s="183" t="s">
        <v>163</v>
      </c>
      <c r="I143" s="179"/>
      <c r="J143" s="187"/>
      <c r="K143" s="178"/>
      <c r="M143" s="188" t="s">
        <v>15</v>
      </c>
      <c r="N143" s="188" t="s">
        <v>14</v>
      </c>
      <c r="O143" s="188" t="s">
        <v>15</v>
      </c>
      <c r="P143" s="188" t="s">
        <v>14</v>
      </c>
      <c r="Q143" s="209" t="s">
        <v>15</v>
      </c>
      <c r="R143" s="209" t="s">
        <v>14</v>
      </c>
    </row>
    <row r="144" ht="28.8" x14ac:dyDescent="0.55000000000000004">
      <c r="A144" s="179">
        <v>3</v>
      </c>
      <c r="B144" s="180" t="s">
        <v>255</v>
      </c>
      <c r="C144" s="181" t="s">
        <v>252</v>
      </c>
      <c r="D144" s="182" t="s">
        <v>667</v>
      </c>
      <c r="E144" s="182" t="s">
        <v>251</v>
      </c>
      <c r="F144" s="182" t="s">
        <v>251</v>
      </c>
      <c r="G144" s="184" t="s">
        <v>661</v>
      </c>
      <c r="H144" s="183" t="s">
        <v>169</v>
      </c>
      <c r="I144" s="179"/>
      <c r="J144" s="187" t="s">
        <v>655</v>
      </c>
      <c r="K144" s="178"/>
      <c r="M144" s="188" t="s">
        <v>15</v>
      </c>
      <c r="N144" s="188" t="s">
        <v>14</v>
      </c>
      <c r="O144" s="188" t="s">
        <v>15</v>
      </c>
      <c r="P144" s="188" t="s">
        <v>14</v>
      </c>
      <c r="Q144" s="208" t="s">
        <v>15</v>
      </c>
      <c r="R144" s="208" t="s">
        <v>14</v>
      </c>
    </row>
    <row r="145" ht="28.8" x14ac:dyDescent="0.55000000000000004">
      <c r="A145" s="179">
        <v>4</v>
      </c>
      <c r="B145" s="180" t="s">
        <v>255</v>
      </c>
      <c r="C145" s="181" t="s">
        <v>251</v>
      </c>
      <c r="D145" s="182" t="s">
        <v>667</v>
      </c>
      <c r="E145" s="182" t="s">
        <v>178</v>
      </c>
      <c r="F145" s="182" t="s">
        <v>178</v>
      </c>
      <c r="G145" s="184" t="s">
        <v>708</v>
      </c>
      <c r="H145" s="183" t="s">
        <v>169</v>
      </c>
      <c r="I145" s="184" t="s">
        <v>709</v>
      </c>
      <c r="J145" s="187"/>
      <c r="K145" s="178"/>
      <c r="M145" s="188" t="s">
        <v>15</v>
      </c>
      <c r="N145" s="188" t="s">
        <v>14</v>
      </c>
      <c r="O145" s="188" t="s">
        <v>15</v>
      </c>
      <c r="P145" s="188" t="s">
        <v>14</v>
      </c>
      <c r="Q145" s="209"/>
      <c r="R145" s="209"/>
    </row>
    <row r="146" s="59" customFormat="1" ht="43.2" x14ac:dyDescent="0.55000000000000004">
      <c r="A146" s="179">
        <v>5</v>
      </c>
      <c r="B146" s="180" t="s">
        <v>255</v>
      </c>
      <c r="C146" s="181" t="s">
        <v>252</v>
      </c>
      <c r="D146" s="182" t="s">
        <v>667</v>
      </c>
      <c r="E146" s="182" t="s">
        <v>187</v>
      </c>
      <c r="F146" s="182" t="s">
        <v>187</v>
      </c>
      <c r="G146" s="184" t="s">
        <v>710</v>
      </c>
      <c r="H146" s="183" t="s">
        <v>51</v>
      </c>
      <c r="I146" s="184" t="s">
        <v>711</v>
      </c>
      <c r="J146" s="187"/>
      <c r="K146" s="178"/>
      <c r="L146" s="62"/>
      <c r="M146" s="188" t="s">
        <v>14</v>
      </c>
      <c r="N146" s="188" t="s">
        <v>15</v>
      </c>
      <c r="O146" s="188" t="s">
        <v>15</v>
      </c>
      <c r="P146" s="188" t="s">
        <v>14</v>
      </c>
      <c r="Q146" s="208" t="s">
        <v>15</v>
      </c>
      <c r="R146" s="208" t="s">
        <v>14</v>
      </c>
      <c r="S146" s="62"/>
      <c r="T146" s="62"/>
      <c r="U146" s="62"/>
      <c r="V146" s="62"/>
      <c r="W146" s="62"/>
      <c r="X146" s="62"/>
      <c r="Y146" s="62"/>
      <c r="Z146" s="62"/>
      <c r="AA146" s="62"/>
    </row>
    <row r="147" ht="43.2" x14ac:dyDescent="0.55000000000000004">
      <c r="A147" s="179">
        <v>6</v>
      </c>
      <c r="B147" s="180" t="s">
        <v>255</v>
      </c>
      <c r="C147" s="181" t="s">
        <v>252</v>
      </c>
      <c r="D147" s="182" t="s">
        <v>667</v>
      </c>
      <c r="E147" s="182" t="s">
        <v>254</v>
      </c>
      <c r="F147" s="182" t="s">
        <v>407</v>
      </c>
      <c r="G147" s="184" t="s">
        <v>712</v>
      </c>
      <c r="H147" s="183" t="s">
        <v>169</v>
      </c>
      <c r="I147" s="184" t="s">
        <v>713</v>
      </c>
      <c r="J147" s="187" t="s">
        <v>660</v>
      </c>
      <c r="K147" s="178"/>
      <c r="M147" s="188" t="s">
        <v>14</v>
      </c>
      <c r="N147" s="188" t="s">
        <v>15</v>
      </c>
      <c r="O147" s="188" t="s">
        <v>15</v>
      </c>
      <c r="P147" s="188" t="s">
        <v>14</v>
      </c>
      <c r="Q147" s="209" t="s">
        <v>15</v>
      </c>
      <c r="R147" s="209" t="s">
        <v>14</v>
      </c>
    </row>
    <row r="148" ht="28.8" x14ac:dyDescent="0.55000000000000004">
      <c r="A148" s="179">
        <v>7</v>
      </c>
      <c r="B148" s="180" t="s">
        <v>255</v>
      </c>
      <c r="C148" s="181" t="s">
        <v>370</v>
      </c>
      <c r="D148" s="182" t="s">
        <v>667</v>
      </c>
      <c r="E148" s="182" t="s">
        <v>3</v>
      </c>
      <c r="F148" s="182" t="s">
        <v>537</v>
      </c>
      <c r="G148" s="184" t="s">
        <v>707</v>
      </c>
      <c r="H148" s="183" t="s">
        <v>52</v>
      </c>
      <c r="I148" s="184" t="s">
        <v>706</v>
      </c>
      <c r="J148" s="187"/>
      <c r="K148" s="178"/>
      <c r="M148" s="188" t="s">
        <v>14</v>
      </c>
      <c r="N148" s="188" t="s">
        <v>15</v>
      </c>
      <c r="O148" s="188" t="s">
        <v>15</v>
      </c>
      <c r="P148" s="188" t="s">
        <v>14</v>
      </c>
      <c r="Q148" s="208" t="s">
        <v>15</v>
      </c>
      <c r="R148" s="208" t="s">
        <v>14</v>
      </c>
    </row>
    <row r="149" ht="43.2" x14ac:dyDescent="0.55000000000000004">
      <c r="A149" s="179">
        <v>8</v>
      </c>
      <c r="B149" s="180" t="s">
        <v>258</v>
      </c>
      <c r="C149" s="181" t="s">
        <v>252</v>
      </c>
      <c r="D149" s="182" t="s">
        <v>667</v>
      </c>
      <c r="E149" s="182" t="s">
        <v>256</v>
      </c>
      <c r="F149" s="182" t="s">
        <v>256</v>
      </c>
      <c r="G149" s="184" t="s">
        <v>704</v>
      </c>
      <c r="H149" s="183" t="s">
        <v>52</v>
      </c>
      <c r="I149" s="184" t="s">
        <v>705</v>
      </c>
      <c r="J149" s="187"/>
      <c r="K149" s="178"/>
      <c r="M149" s="188" t="s">
        <v>15</v>
      </c>
      <c r="N149" s="188" t="s">
        <v>15</v>
      </c>
      <c r="O149" s="188" t="s">
        <v>14</v>
      </c>
      <c r="P149" s="188" t="s">
        <v>15</v>
      </c>
      <c r="Q149" s="209" t="s">
        <v>15</v>
      </c>
      <c r="R149" s="209" t="s">
        <v>14</v>
      </c>
    </row>
    <row r="150" x14ac:dyDescent="0.55000000000000004">
      <c r="A150" s="179">
        <v>9</v>
      </c>
      <c r="B150" s="180" t="s">
        <v>258</v>
      </c>
      <c r="C150" s="181" t="s">
        <v>252</v>
      </c>
      <c r="D150" s="182" t="s">
        <v>667</v>
      </c>
      <c r="E150" s="182" t="s">
        <v>257</v>
      </c>
      <c r="F150" s="182" t="s">
        <v>265</v>
      </c>
      <c r="G150" s="187"/>
      <c r="H150" s="183" t="s">
        <v>51</v>
      </c>
      <c r="I150" s="179"/>
      <c r="J150" s="187"/>
      <c r="K150" s="178"/>
      <c r="M150" s="188" t="s">
        <v>15</v>
      </c>
      <c r="N150" s="188" t="s">
        <v>15</v>
      </c>
      <c r="O150" s="188" t="s">
        <v>14</v>
      </c>
      <c r="P150" s="188" t="s">
        <v>15</v>
      </c>
      <c r="Q150" s="208" t="s">
        <v>15</v>
      </c>
      <c r="R150" s="208" t="s">
        <v>14</v>
      </c>
    </row>
    <row r="151" x14ac:dyDescent="0.55000000000000004">
      <c r="A151" s="179">
        <v>10</v>
      </c>
      <c r="B151" s="180" t="s">
        <v>255</v>
      </c>
      <c r="C151" s="181" t="s">
        <v>363</v>
      </c>
      <c r="D151" s="182" t="s">
        <v>453</v>
      </c>
      <c r="E151" s="182" t="s">
        <v>453</v>
      </c>
      <c r="F151" s="182" t="s">
        <v>453</v>
      </c>
      <c r="G151" s="187"/>
      <c r="H151" s="183" t="s">
        <v>169</v>
      </c>
      <c r="I151" s="179"/>
      <c r="J151" s="187" t="s">
        <v>659</v>
      </c>
      <c r="K151" s="178"/>
      <c r="M151" s="188" t="s">
        <v>15</v>
      </c>
      <c r="N151" s="188" t="s">
        <v>15</v>
      </c>
      <c r="O151" s="188" t="s">
        <v>15</v>
      </c>
      <c r="P151" s="188" t="s">
        <v>15</v>
      </c>
      <c r="Q151" s="209" t="s">
        <v>15</v>
      </c>
      <c r="R151" s="209" t="s">
        <v>14</v>
      </c>
    </row>
    <row r="152" x14ac:dyDescent="0.55000000000000004">
      <c r="A152" s="179">
        <v>11</v>
      </c>
      <c r="B152" s="180" t="s">
        <v>538</v>
      </c>
      <c r="C152" s="181" t="s">
        <v>363</v>
      </c>
      <c r="D152" s="182" t="s">
        <v>454</v>
      </c>
      <c r="E152" s="182" t="s">
        <v>454</v>
      </c>
      <c r="F152" s="182" t="s">
        <v>454</v>
      </c>
      <c r="G152" s="187"/>
      <c r="H152" s="183" t="s">
        <v>169</v>
      </c>
      <c r="I152" s="179"/>
      <c r="J152" s="187" t="s">
        <v>659</v>
      </c>
      <c r="K152" s="178"/>
      <c r="M152" s="188" t="s">
        <v>15</v>
      </c>
      <c r="N152" s="188" t="s">
        <v>15</v>
      </c>
      <c r="O152" s="188" t="s">
        <v>15</v>
      </c>
      <c r="P152" s="188" t="s">
        <v>15</v>
      </c>
      <c r="Q152" s="208" t="s">
        <v>15</v>
      </c>
      <c r="R152" s="208" t="s">
        <v>14</v>
      </c>
    </row>
    <row r="153" x14ac:dyDescent="0.55000000000000004">
      <c r="B153" s="13"/>
      <c r="C153" s="63"/>
      <c r="G153" s="187"/>
      <c r="H153" s="13"/>
      <c r="I153" s="64"/>
      <c r="J153" s="187"/>
      <c r="K153" s="57"/>
      <c r="M153" s="188"/>
      <c r="N153" s="188"/>
      <c r="O153" s="188"/>
      <c r="P153" s="188"/>
    </row>
    <row r="154" ht="27" x14ac:dyDescent="0.55000000000000004">
      <c r="A154" s="66" t="s">
        <v>368</v>
      </c>
      <c r="B154" s="58"/>
      <c r="C154" s="59"/>
      <c r="D154" s="59"/>
      <c r="E154" s="28"/>
      <c r="F154" s="59"/>
      <c r="G154" s="59"/>
      <c r="H154" s="59"/>
      <c r="I154" s="59"/>
      <c r="J154" s="59"/>
      <c r="K154" s="59"/>
      <c r="Q154" s="188"/>
      <c r="R154" s="188"/>
    </row>
    <row r="155" ht="121.2" x14ac:dyDescent="0.55000000000000004">
      <c r="A155" s="194" t="s">
        <v>37</v>
      </c>
      <c r="B155" s="194" t="s">
        <v>43</v>
      </c>
      <c r="C155" s="194" t="s">
        <v>44</v>
      </c>
      <c r="D155" s="194" t="s">
        <v>581</v>
      </c>
      <c r="E155" s="194" t="s">
        <v>552</v>
      </c>
      <c r="F155" s="194" t="s">
        <v>553</v>
      </c>
      <c r="G155" s="194" t="s">
        <v>19</v>
      </c>
      <c r="H155" s="194" t="s">
        <v>36</v>
      </c>
      <c r="I155" s="185" t="s">
        <v>554</v>
      </c>
      <c r="J155" s="194" t="s">
        <v>47</v>
      </c>
      <c r="K155" s="186" t="s">
        <v>101</v>
      </c>
      <c r="L155" s="186" t="s">
        <v>555</v>
      </c>
      <c r="M155" s="186" t="s">
        <v>556</v>
      </c>
      <c r="N155" s="186" t="s">
        <v>657</v>
      </c>
      <c r="O155" s="186" t="s">
        <v>557</v>
      </c>
      <c r="P155" s="186" t="s">
        <v>722</v>
      </c>
      <c r="Q155" s="207" t="s">
        <v>700</v>
      </c>
      <c r="R155" s="207" t="s">
        <v>701</v>
      </c>
    </row>
    <row r="156" ht="28.8" x14ac:dyDescent="0.55000000000000004">
      <c r="A156" s="179">
        <v>1</v>
      </c>
      <c r="B156" s="180" t="s">
        <v>255</v>
      </c>
      <c r="C156" s="181" t="s">
        <v>370</v>
      </c>
      <c r="D156" s="182" t="s">
        <v>668</v>
      </c>
      <c r="E156" s="182" t="s">
        <v>208</v>
      </c>
      <c r="F156" s="182" t="s">
        <v>208</v>
      </c>
      <c r="G156" s="187"/>
      <c r="H156" s="183" t="s">
        <v>169</v>
      </c>
      <c r="I156" s="179"/>
      <c r="J156" s="187" t="s">
        <v>558</v>
      </c>
      <c r="K156" s="178"/>
      <c r="M156" s="188" t="s">
        <v>15</v>
      </c>
      <c r="N156" s="188" t="s">
        <v>14</v>
      </c>
      <c r="O156" s="188" t="s">
        <v>15</v>
      </c>
      <c r="P156" s="188" t="s">
        <v>14</v>
      </c>
      <c r="Q156" s="208" t="s">
        <v>15</v>
      </c>
      <c r="R156" s="208" t="s">
        <v>14</v>
      </c>
    </row>
    <row r="157" x14ac:dyDescent="0.55000000000000004">
      <c r="A157" s="179">
        <v>2</v>
      </c>
      <c r="B157" s="180" t="s">
        <v>538</v>
      </c>
      <c r="C157" s="181" t="s">
        <v>370</v>
      </c>
      <c r="D157" s="182" t="s">
        <v>668</v>
      </c>
      <c r="E157" s="182" t="s">
        <v>259</v>
      </c>
      <c r="F157" s="182" t="s">
        <v>259</v>
      </c>
      <c r="G157" s="187"/>
      <c r="H157" s="183" t="s">
        <v>163</v>
      </c>
      <c r="I157" s="179"/>
      <c r="J157" s="187"/>
      <c r="K157" s="178"/>
      <c r="M157" s="188" t="s">
        <v>15</v>
      </c>
      <c r="N157" s="188" t="s">
        <v>14</v>
      </c>
      <c r="O157" s="188" t="s">
        <v>15</v>
      </c>
      <c r="P157" s="188" t="s">
        <v>14</v>
      </c>
      <c r="Q157" s="209" t="s">
        <v>15</v>
      </c>
      <c r="R157" s="209" t="s">
        <v>14</v>
      </c>
    </row>
    <row r="158" ht="28.8" x14ac:dyDescent="0.55000000000000004">
      <c r="A158" s="179">
        <v>3</v>
      </c>
      <c r="B158" s="180" t="s">
        <v>255</v>
      </c>
      <c r="C158" s="181" t="s">
        <v>252</v>
      </c>
      <c r="D158" s="182" t="s">
        <v>668</v>
      </c>
      <c r="E158" s="182" t="s">
        <v>251</v>
      </c>
      <c r="F158" s="182" t="s">
        <v>251</v>
      </c>
      <c r="G158" s="184" t="s">
        <v>661</v>
      </c>
      <c r="H158" s="183" t="s">
        <v>169</v>
      </c>
      <c r="I158" s="179"/>
      <c r="J158" s="187" t="s">
        <v>655</v>
      </c>
      <c r="K158" s="178"/>
      <c r="M158" s="188" t="s">
        <v>15</v>
      </c>
      <c r="N158" s="188" t="s">
        <v>14</v>
      </c>
      <c r="O158" s="188" t="s">
        <v>15</v>
      </c>
      <c r="P158" s="188" t="s">
        <v>14</v>
      </c>
      <c r="Q158" s="208" t="s">
        <v>15</v>
      </c>
      <c r="R158" s="208" t="s">
        <v>14</v>
      </c>
    </row>
    <row r="159" ht="28.8" x14ac:dyDescent="0.55000000000000004">
      <c r="A159" s="179">
        <v>4</v>
      </c>
      <c r="B159" s="180" t="s">
        <v>255</v>
      </c>
      <c r="C159" s="181" t="s">
        <v>251</v>
      </c>
      <c r="D159" s="182" t="s">
        <v>668</v>
      </c>
      <c r="E159" s="182" t="s">
        <v>178</v>
      </c>
      <c r="F159" s="182" t="s">
        <v>178</v>
      </c>
      <c r="G159" s="184" t="s">
        <v>708</v>
      </c>
      <c r="H159" s="183" t="s">
        <v>169</v>
      </c>
      <c r="I159" s="184" t="s">
        <v>709</v>
      </c>
      <c r="J159" s="187"/>
      <c r="K159" s="178"/>
      <c r="M159" s="188" t="s">
        <v>15</v>
      </c>
      <c r="N159" s="188" t="s">
        <v>14</v>
      </c>
      <c r="O159" s="188" t="s">
        <v>15</v>
      </c>
      <c r="P159" s="188" t="s">
        <v>14</v>
      </c>
      <c r="Q159" s="209"/>
      <c r="R159" s="209"/>
    </row>
    <row r="160" s="59" customFormat="1" ht="43.2" x14ac:dyDescent="0.55000000000000004">
      <c r="A160" s="179">
        <v>5</v>
      </c>
      <c r="B160" s="180" t="s">
        <v>255</v>
      </c>
      <c r="C160" s="181" t="s">
        <v>252</v>
      </c>
      <c r="D160" s="182" t="s">
        <v>668</v>
      </c>
      <c r="E160" s="182" t="s">
        <v>187</v>
      </c>
      <c r="F160" s="182" t="s">
        <v>187</v>
      </c>
      <c r="G160" s="184" t="s">
        <v>710</v>
      </c>
      <c r="H160" s="183" t="s">
        <v>51</v>
      </c>
      <c r="I160" s="184" t="s">
        <v>711</v>
      </c>
      <c r="J160" s="187"/>
      <c r="K160" s="178"/>
      <c r="L160" s="62"/>
      <c r="M160" s="188" t="s">
        <v>14</v>
      </c>
      <c r="N160" s="188" t="s">
        <v>15</v>
      </c>
      <c r="O160" s="188" t="s">
        <v>15</v>
      </c>
      <c r="P160" s="188" t="s">
        <v>14</v>
      </c>
      <c r="Q160" s="208" t="s">
        <v>15</v>
      </c>
      <c r="R160" s="208" t="s">
        <v>14</v>
      </c>
      <c r="S160" s="62"/>
      <c r="T160" s="62"/>
      <c r="U160" s="62"/>
      <c r="V160" s="62"/>
      <c r="W160" s="62"/>
      <c r="X160" s="62"/>
      <c r="Y160" s="62"/>
      <c r="Z160" s="62"/>
      <c r="AA160" s="62"/>
    </row>
    <row r="161" ht="43.2" x14ac:dyDescent="0.55000000000000004">
      <c r="A161" s="179">
        <v>6</v>
      </c>
      <c r="B161" s="180" t="s">
        <v>255</v>
      </c>
      <c r="C161" s="181" t="s">
        <v>252</v>
      </c>
      <c r="D161" s="182" t="s">
        <v>668</v>
      </c>
      <c r="E161" s="182" t="s">
        <v>254</v>
      </c>
      <c r="F161" s="182" t="s">
        <v>407</v>
      </c>
      <c r="G161" s="184" t="s">
        <v>712</v>
      </c>
      <c r="H161" s="183" t="s">
        <v>169</v>
      </c>
      <c r="I161" s="184" t="s">
        <v>713</v>
      </c>
      <c r="J161" s="187" t="s">
        <v>660</v>
      </c>
      <c r="K161" s="178"/>
      <c r="M161" s="188" t="s">
        <v>14</v>
      </c>
      <c r="N161" s="188" t="s">
        <v>15</v>
      </c>
      <c r="O161" s="188" t="s">
        <v>15</v>
      </c>
      <c r="P161" s="188" t="s">
        <v>14</v>
      </c>
      <c r="Q161" s="209" t="s">
        <v>15</v>
      </c>
      <c r="R161" s="209" t="s">
        <v>14</v>
      </c>
    </row>
    <row r="162" ht="28.8" x14ac:dyDescent="0.55000000000000004">
      <c r="A162" s="179">
        <v>7</v>
      </c>
      <c r="B162" s="180" t="s">
        <v>255</v>
      </c>
      <c r="C162" s="181" t="s">
        <v>370</v>
      </c>
      <c r="D162" s="182" t="s">
        <v>668</v>
      </c>
      <c r="E162" s="182" t="s">
        <v>3</v>
      </c>
      <c r="F162" s="182" t="s">
        <v>537</v>
      </c>
      <c r="G162" s="184" t="s">
        <v>707</v>
      </c>
      <c r="H162" s="183" t="s">
        <v>52</v>
      </c>
      <c r="I162" s="184" t="s">
        <v>706</v>
      </c>
      <c r="J162" s="187"/>
      <c r="K162" s="178"/>
      <c r="M162" s="188" t="s">
        <v>14</v>
      </c>
      <c r="N162" s="188" t="s">
        <v>15</v>
      </c>
      <c r="O162" s="188" t="s">
        <v>15</v>
      </c>
      <c r="P162" s="188" t="s">
        <v>14</v>
      </c>
      <c r="Q162" s="208" t="s">
        <v>15</v>
      </c>
      <c r="R162" s="208" t="s">
        <v>14</v>
      </c>
    </row>
    <row r="163" ht="43.2" x14ac:dyDescent="0.55000000000000004">
      <c r="A163" s="179">
        <v>8</v>
      </c>
      <c r="B163" s="180" t="s">
        <v>258</v>
      </c>
      <c r="C163" s="181" t="s">
        <v>252</v>
      </c>
      <c r="D163" s="182" t="s">
        <v>668</v>
      </c>
      <c r="E163" s="182" t="s">
        <v>256</v>
      </c>
      <c r="F163" s="182" t="s">
        <v>256</v>
      </c>
      <c r="G163" s="184" t="s">
        <v>704</v>
      </c>
      <c r="H163" s="183" t="s">
        <v>52</v>
      </c>
      <c r="I163" s="184" t="s">
        <v>705</v>
      </c>
      <c r="J163" s="187"/>
      <c r="K163" s="178"/>
      <c r="M163" s="188" t="s">
        <v>15</v>
      </c>
      <c r="N163" s="188" t="s">
        <v>15</v>
      </c>
      <c r="O163" s="188" t="s">
        <v>14</v>
      </c>
      <c r="P163" s="188" t="s">
        <v>15</v>
      </c>
      <c r="Q163" s="209" t="s">
        <v>15</v>
      </c>
      <c r="R163" s="209" t="s">
        <v>14</v>
      </c>
    </row>
    <row r="164" x14ac:dyDescent="0.55000000000000004">
      <c r="A164" s="179">
        <v>9</v>
      </c>
      <c r="B164" s="180" t="s">
        <v>258</v>
      </c>
      <c r="C164" s="181" t="s">
        <v>252</v>
      </c>
      <c r="D164" s="182" t="s">
        <v>668</v>
      </c>
      <c r="E164" s="182" t="s">
        <v>257</v>
      </c>
      <c r="F164" s="182" t="s">
        <v>265</v>
      </c>
      <c r="G164" s="187"/>
      <c r="H164" s="183" t="s">
        <v>51</v>
      </c>
      <c r="I164" s="179"/>
      <c r="J164" s="187"/>
      <c r="K164" s="178"/>
      <c r="M164" s="188" t="s">
        <v>15</v>
      </c>
      <c r="N164" s="188" t="s">
        <v>15</v>
      </c>
      <c r="O164" s="188" t="s">
        <v>14</v>
      </c>
      <c r="P164" s="188" t="s">
        <v>15</v>
      </c>
      <c r="Q164" s="208" t="s">
        <v>15</v>
      </c>
      <c r="R164" s="208" t="s">
        <v>14</v>
      </c>
    </row>
    <row r="165" x14ac:dyDescent="0.55000000000000004">
      <c r="A165" s="179">
        <v>10</v>
      </c>
      <c r="B165" s="180" t="s">
        <v>255</v>
      </c>
      <c r="C165" s="181" t="s">
        <v>368</v>
      </c>
      <c r="D165" s="182" t="s">
        <v>453</v>
      </c>
      <c r="E165" s="182" t="s">
        <v>453</v>
      </c>
      <c r="F165" s="182" t="s">
        <v>453</v>
      </c>
      <c r="G165" s="187"/>
      <c r="H165" s="183" t="s">
        <v>169</v>
      </c>
      <c r="I165" s="179"/>
      <c r="J165" s="187" t="s">
        <v>659</v>
      </c>
      <c r="K165" s="178"/>
      <c r="M165" s="188" t="s">
        <v>15</v>
      </c>
      <c r="N165" s="188" t="s">
        <v>15</v>
      </c>
      <c r="O165" s="188" t="s">
        <v>15</v>
      </c>
      <c r="P165" s="188" t="s">
        <v>15</v>
      </c>
      <c r="Q165" s="209" t="s">
        <v>15</v>
      </c>
      <c r="R165" s="209" t="s">
        <v>14</v>
      </c>
    </row>
    <row r="166" x14ac:dyDescent="0.55000000000000004">
      <c r="A166" s="179">
        <v>11</v>
      </c>
      <c r="B166" s="180" t="s">
        <v>538</v>
      </c>
      <c r="C166" s="181" t="s">
        <v>368</v>
      </c>
      <c r="D166" s="182" t="s">
        <v>454</v>
      </c>
      <c r="E166" s="182" t="s">
        <v>454</v>
      </c>
      <c r="F166" s="182" t="s">
        <v>454</v>
      </c>
      <c r="G166" s="187"/>
      <c r="H166" s="183" t="s">
        <v>169</v>
      </c>
      <c r="I166" s="179"/>
      <c r="J166" s="187" t="s">
        <v>659</v>
      </c>
      <c r="K166" s="178"/>
      <c r="M166" s="188" t="s">
        <v>15</v>
      </c>
      <c r="N166" s="188" t="s">
        <v>15</v>
      </c>
      <c r="O166" s="188" t="s">
        <v>15</v>
      </c>
      <c r="P166" s="188" t="s">
        <v>15</v>
      </c>
      <c r="Q166" s="208" t="s">
        <v>15</v>
      </c>
      <c r="R166" s="208" t="s">
        <v>14</v>
      </c>
    </row>
    <row r="167" ht="27" x14ac:dyDescent="0.55000000000000004">
      <c r="A167" s="66"/>
      <c r="B167" s="58"/>
      <c r="C167" s="59"/>
      <c r="D167" s="59"/>
      <c r="E167" s="28"/>
      <c r="F167" s="59"/>
      <c r="G167" s="59"/>
      <c r="H167" s="59"/>
      <c r="I167" s="59"/>
      <c r="J167" s="59"/>
      <c r="K167" s="59"/>
    </row>
    <row r="168" ht="27" x14ac:dyDescent="0.55000000000000004">
      <c r="A168" s="66" t="s">
        <v>358</v>
      </c>
      <c r="B168" s="58"/>
      <c r="C168" s="59"/>
      <c r="D168" s="59"/>
      <c r="E168" s="28"/>
      <c r="F168" s="59"/>
      <c r="G168" s="59"/>
      <c r="H168" s="59"/>
      <c r="I168" s="59"/>
      <c r="J168" s="59"/>
      <c r="K168" s="59"/>
      <c r="AA168" s="256" t="inlineStr">
        <is>
          <t xml:space="preserve">21-Oct: Keep (functional approval). Missing: Operations, Maintenance + level approvals (TM / Regional / Global).</t>
        </is>
      </c>
    </row>
    <row r="169" ht="121.2" x14ac:dyDescent="0.55000000000000004">
      <c r="A169" s="194" t="s">
        <v>37</v>
      </c>
      <c r="B169" s="194" t="s">
        <v>43</v>
      </c>
      <c r="C169" s="194" t="s">
        <v>44</v>
      </c>
      <c r="D169" s="194" t="s">
        <v>581</v>
      </c>
      <c r="E169" s="194" t="s">
        <v>552</v>
      </c>
      <c r="F169" s="194" t="s">
        <v>553</v>
      </c>
      <c r="G169" s="194" t="s">
        <v>19</v>
      </c>
      <c r="H169" s="194" t="s">
        <v>36</v>
      </c>
      <c r="I169" s="185" t="s">
        <v>554</v>
      </c>
      <c r="J169" s="194" t="s">
        <v>47</v>
      </c>
      <c r="K169" s="186" t="s">
        <v>101</v>
      </c>
      <c r="L169" s="186" t="s">
        <v>555</v>
      </c>
      <c r="M169" s="186" t="s">
        <v>556</v>
      </c>
      <c r="N169" s="186" t="s">
        <v>657</v>
      </c>
      <c r="O169" s="186" t="s">
        <v>557</v>
      </c>
      <c r="P169" s="186" t="s">
        <v>722</v>
      </c>
      <c r="Q169" s="186" t="s">
        <v>700</v>
      </c>
      <c r="R169" s="186" t="s">
        <v>701</v>
      </c>
    </row>
    <row r="170" ht="28.8" x14ac:dyDescent="0.55000000000000004">
      <c r="A170" s="179">
        <v>1</v>
      </c>
      <c r="B170" s="180" t="s">
        <v>255</v>
      </c>
      <c r="C170" s="181" t="s">
        <v>260</v>
      </c>
      <c r="D170" s="182" t="s">
        <v>669</v>
      </c>
      <c r="E170" s="182" t="s">
        <v>208</v>
      </c>
      <c r="F170" s="182" t="s">
        <v>208</v>
      </c>
      <c r="G170" s="187"/>
      <c r="H170" s="183" t="s">
        <v>169</v>
      </c>
      <c r="I170" s="179"/>
      <c r="J170" s="187" t="s">
        <v>558</v>
      </c>
      <c r="K170" s="178"/>
      <c r="M170" s="188" t="s">
        <v>15</v>
      </c>
      <c r="N170" s="188" t="s">
        <v>14</v>
      </c>
      <c r="O170" s="188" t="s">
        <v>15</v>
      </c>
      <c r="P170" s="188" t="s">
        <v>14</v>
      </c>
      <c r="Q170" s="208" t="s">
        <v>15</v>
      </c>
      <c r="R170" s="208" t="s">
        <v>14</v>
      </c>
    </row>
    <row r="171" x14ac:dyDescent="0.55000000000000004">
      <c r="A171" s="179">
        <v>2</v>
      </c>
      <c r="B171" s="180" t="s">
        <v>538</v>
      </c>
      <c r="C171" s="181" t="s">
        <v>260</v>
      </c>
      <c r="D171" s="182" t="s">
        <v>669</v>
      </c>
      <c r="E171" s="182" t="s">
        <v>413</v>
      </c>
      <c r="F171" s="182" t="s">
        <v>413</v>
      </c>
      <c r="G171" s="187"/>
      <c r="H171" s="183" t="s">
        <v>163</v>
      </c>
      <c r="I171" s="179"/>
      <c r="J171" s="187"/>
      <c r="K171" s="178"/>
      <c r="M171" s="188" t="s">
        <v>15</v>
      </c>
      <c r="N171" s="188" t="s">
        <v>14</v>
      </c>
      <c r="O171" s="188" t="s">
        <v>15</v>
      </c>
      <c r="P171" s="188" t="s">
        <v>14</v>
      </c>
      <c r="Q171" s="209" t="s">
        <v>15</v>
      </c>
      <c r="R171" s="209" t="s">
        <v>14</v>
      </c>
    </row>
    <row r="172" ht="28.8" x14ac:dyDescent="0.55000000000000004">
      <c r="A172" s="179">
        <v>3</v>
      </c>
      <c r="B172" s="180" t="s">
        <v>255</v>
      </c>
      <c r="C172" s="181" t="s">
        <v>260</v>
      </c>
      <c r="D172" s="182" t="s">
        <v>669</v>
      </c>
      <c r="E172" s="182" t="s">
        <v>251</v>
      </c>
      <c r="F172" s="182" t="s">
        <v>251</v>
      </c>
      <c r="G172" s="187" t="s">
        <v>671</v>
      </c>
      <c r="H172" s="183" t="s">
        <v>169</v>
      </c>
      <c r="I172" s="179"/>
      <c r="J172" s="187" t="s">
        <v>655</v>
      </c>
      <c r="K172" s="178"/>
      <c r="M172" s="188" t="s">
        <v>15</v>
      </c>
      <c r="N172" s="188" t="s">
        <v>14</v>
      </c>
      <c r="O172" s="188" t="s">
        <v>15</v>
      </c>
      <c r="P172" s="188" t="s">
        <v>14</v>
      </c>
      <c r="Q172" s="208" t="s">
        <v>15</v>
      </c>
      <c r="R172" s="208" t="s">
        <v>14</v>
      </c>
    </row>
    <row r="173" x14ac:dyDescent="0.55000000000000004">
      <c r="A173" s="179">
        <v>4</v>
      </c>
      <c r="B173" s="180" t="s">
        <v>670</v>
      </c>
      <c r="C173" s="181" t="s">
        <v>260</v>
      </c>
      <c r="D173" s="182" t="s">
        <v>669</v>
      </c>
      <c r="E173" s="182" t="s">
        <v>43</v>
      </c>
      <c r="F173" s="182" t="s">
        <v>43</v>
      </c>
      <c r="G173" s="187"/>
      <c r="H173" s="183"/>
      <c r="I173" s="179"/>
      <c r="J173" s="187"/>
      <c r="K173" s="178"/>
      <c r="M173" s="188"/>
      <c r="N173" s="188"/>
      <c r="O173" s="188"/>
      <c r="P173" s="188"/>
      <c r="Q173" s="209"/>
      <c r="R173" s="209"/>
    </row>
    <row r="174" ht="28.8" x14ac:dyDescent="0.55000000000000004">
      <c r="A174" s="179">
        <v>5</v>
      </c>
      <c r="B174" s="180" t="s">
        <v>255</v>
      </c>
      <c r="C174" s="181" t="s">
        <v>251</v>
      </c>
      <c r="D174" s="182" t="s">
        <v>669</v>
      </c>
      <c r="E174" s="182" t="s">
        <v>178</v>
      </c>
      <c r="F174" s="182" t="s">
        <v>178</v>
      </c>
      <c r="G174" s="187" t="s">
        <v>708</v>
      </c>
      <c r="H174" s="183" t="s">
        <v>169</v>
      </c>
      <c r="I174" s="184" t="s">
        <v>709</v>
      </c>
      <c r="J174" s="187" t="s">
        <v>672</v>
      </c>
      <c r="K174" s="178"/>
      <c r="M174" s="188" t="s">
        <v>15</v>
      </c>
      <c r="N174" s="188" t="s">
        <v>14</v>
      </c>
      <c r="O174" s="188" t="s">
        <v>15</v>
      </c>
      <c r="P174" s="188" t="s">
        <v>14</v>
      </c>
      <c r="Q174" s="208" t="s">
        <v>15</v>
      </c>
      <c r="R174" s="208" t="s">
        <v>14</v>
      </c>
    </row>
    <row r="175" ht="43.2" x14ac:dyDescent="0.55000000000000004">
      <c r="A175" s="179">
        <v>6</v>
      </c>
      <c r="B175" s="180" t="s">
        <v>255</v>
      </c>
      <c r="C175" s="181" t="s">
        <v>251</v>
      </c>
      <c r="D175" s="182" t="s">
        <v>669</v>
      </c>
      <c r="E175" s="182" t="s">
        <v>205</v>
      </c>
      <c r="F175" s="182" t="s">
        <v>205</v>
      </c>
      <c r="G175" s="187" t="s">
        <v>714</v>
      </c>
      <c r="H175" s="183" t="s">
        <v>51</v>
      </c>
      <c r="I175" s="184" t="s">
        <v>716</v>
      </c>
      <c r="J175" s="187"/>
      <c r="K175" s="178"/>
      <c r="M175" s="188" t="s">
        <v>14</v>
      </c>
      <c r="N175" s="188" t="s">
        <v>15</v>
      </c>
      <c r="O175" s="188" t="s">
        <v>15</v>
      </c>
      <c r="P175" s="188" t="s">
        <v>14</v>
      </c>
      <c r="Q175" s="209" t="s">
        <v>15</v>
      </c>
      <c r="R175" s="209" t="s">
        <v>14</v>
      </c>
    </row>
    <row r="176" ht="100.8" x14ac:dyDescent="0.55000000000000004">
      <c r="A176" s="179">
        <v>7</v>
      </c>
      <c r="B176" s="180" t="s">
        <v>255</v>
      </c>
      <c r="C176" s="181" t="s">
        <v>251</v>
      </c>
      <c r="D176" s="182" t="s">
        <v>669</v>
      </c>
      <c r="E176" s="182" t="s">
        <v>254</v>
      </c>
      <c r="F176" s="182" t="s">
        <v>407</v>
      </c>
      <c r="G176" s="184" t="s">
        <v>712</v>
      </c>
      <c r="H176" s="183" t="s">
        <v>169</v>
      </c>
      <c r="I176" s="184" t="s">
        <v>715</v>
      </c>
      <c r="J176" s="187" t="s">
        <v>721</v>
      </c>
      <c r="K176" s="178"/>
      <c r="M176" s="188" t="s">
        <v>14</v>
      </c>
      <c r="N176" s="188" t="s">
        <v>15</v>
      </c>
      <c r="O176" s="188" t="s">
        <v>15</v>
      </c>
      <c r="P176" s="188" t="s">
        <v>14</v>
      </c>
      <c r="Q176" s="208" t="s">
        <v>15</v>
      </c>
      <c r="R176" s="208" t="s">
        <v>14</v>
      </c>
    </row>
    <row r="177" ht="72" x14ac:dyDescent="0.55000000000000004">
      <c r="A177" s="179" t="s">
        <v>719</v>
      </c>
      <c r="B177" s="180" t="s">
        <v>255</v>
      </c>
      <c r="C177" s="181" t="s">
        <v>260</v>
      </c>
      <c r="D177" s="182" t="s">
        <v>669</v>
      </c>
      <c r="E177" s="182" t="s">
        <v>3</v>
      </c>
      <c r="F177" s="182" t="s">
        <v>537</v>
      </c>
      <c r="G177" s="187" t="s">
        <v>717</v>
      </c>
      <c r="H177" s="183" t="s">
        <v>52</v>
      </c>
      <c r="I177" s="184" t="s">
        <v>718</v>
      </c>
      <c r="J177" s="187" t="s">
        <v>720</v>
      </c>
      <c r="K177" s="178"/>
      <c r="M177" s="188" t="s">
        <v>14</v>
      </c>
      <c r="N177" s="188" t="s">
        <v>15</v>
      </c>
      <c r="O177" s="188" t="s">
        <v>15</v>
      </c>
      <c r="P177" s="188" t="s">
        <v>14</v>
      </c>
      <c r="Q177" s="209" t="s">
        <v>15</v>
      </c>
      <c r="R177" s="209" t="s">
        <v>14</v>
      </c>
    </row>
    <row r="178" s="59" customFormat="1" x14ac:dyDescent="0.55000000000000004">
      <c r="A178" s="179">
        <v>9</v>
      </c>
      <c r="B178" s="180" t="s">
        <v>258</v>
      </c>
      <c r="C178" s="181" t="s">
        <v>260</v>
      </c>
      <c r="D178" s="182" t="s">
        <v>669</v>
      </c>
      <c r="E178" s="182" t="s">
        <v>412</v>
      </c>
      <c r="F178" s="182" t="s">
        <v>412</v>
      </c>
      <c r="G178" s="187"/>
      <c r="H178" s="183" t="s">
        <v>108</v>
      </c>
      <c r="I178" s="179"/>
      <c r="J178" s="187"/>
      <c r="K178" s="178"/>
      <c r="L178" s="62"/>
      <c r="M178" s="188" t="s">
        <v>15</v>
      </c>
      <c r="N178" s="188" t="s">
        <v>15</v>
      </c>
      <c r="O178" s="188" t="s">
        <v>14</v>
      </c>
      <c r="P178" s="188" t="s">
        <v>15</v>
      </c>
      <c r="Q178" s="208" t="s">
        <v>15</v>
      </c>
      <c r="R178" s="208" t="s">
        <v>14</v>
      </c>
      <c r="S178" s="62"/>
      <c r="T178" s="62"/>
      <c r="U178" s="62"/>
      <c r="V178" s="62"/>
      <c r="W178" s="62"/>
      <c r="X178" s="62"/>
      <c r="Y178" s="62"/>
      <c r="Z178" s="62"/>
      <c r="AA178" s="62"/>
    </row>
    <row r="179" ht="28.8" x14ac:dyDescent="0.55000000000000004">
      <c r="A179" s="179">
        <v>10</v>
      </c>
      <c r="B179" s="180" t="s">
        <v>258</v>
      </c>
      <c r="C179" s="181" t="s">
        <v>260</v>
      </c>
      <c r="D179" s="182" t="s">
        <v>673</v>
      </c>
      <c r="E179" s="182" t="s">
        <v>263</v>
      </c>
      <c r="F179" s="182" t="s">
        <v>263</v>
      </c>
      <c r="G179" s="187" t="s">
        <v>724</v>
      </c>
      <c r="H179" s="183" t="s">
        <v>51</v>
      </c>
      <c r="I179" s="179"/>
      <c r="J179" s="187" t="s">
        <v>723</v>
      </c>
      <c r="K179" s="178"/>
      <c r="M179" s="188" t="s">
        <v>15</v>
      </c>
      <c r="N179" s="188" t="s">
        <v>15</v>
      </c>
      <c r="O179" s="188" t="s">
        <v>14</v>
      </c>
      <c r="P179" s="188" t="s">
        <v>15</v>
      </c>
      <c r="Q179" s="209" t="s">
        <v>15</v>
      </c>
      <c r="R179" s="209" t="s">
        <v>14</v>
      </c>
    </row>
    <row r="180" x14ac:dyDescent="0.55000000000000004">
      <c r="A180" s="179">
        <v>11</v>
      </c>
      <c r="B180" s="180" t="s">
        <v>258</v>
      </c>
      <c r="C180" s="181" t="s">
        <v>260</v>
      </c>
      <c r="D180" s="182" t="s">
        <v>673</v>
      </c>
      <c r="E180" s="182" t="s">
        <v>429</v>
      </c>
      <c r="F180" s="182" t="s">
        <v>429</v>
      </c>
      <c r="G180" s="187" t="s">
        <v>19</v>
      </c>
      <c r="H180" s="183" t="s">
        <v>51</v>
      </c>
      <c r="I180" s="179"/>
      <c r="J180" s="187"/>
      <c r="K180" s="178"/>
      <c r="M180" s="188" t="s">
        <v>15</v>
      </c>
      <c r="N180" s="188" t="s">
        <v>15</v>
      </c>
      <c r="O180" s="188" t="s">
        <v>14</v>
      </c>
      <c r="P180" s="188" t="s">
        <v>15</v>
      </c>
      <c r="Q180" s="208" t="s">
        <v>15</v>
      </c>
      <c r="R180" s="208" t="s">
        <v>14</v>
      </c>
    </row>
    <row r="181" x14ac:dyDescent="0.55000000000000004">
      <c r="A181" s="179">
        <v>12</v>
      </c>
      <c r="B181" s="180" t="s">
        <v>258</v>
      </c>
      <c r="C181" s="181" t="s">
        <v>260</v>
      </c>
      <c r="D181" s="182" t="s">
        <v>673</v>
      </c>
      <c r="E181" s="182" t="s">
        <v>415</v>
      </c>
      <c r="F181" s="182" t="s">
        <v>415</v>
      </c>
      <c r="G181" s="187" t="s">
        <v>725</v>
      </c>
      <c r="H181" s="183" t="s">
        <v>52</v>
      </c>
      <c r="I181" s="179"/>
      <c r="J181" s="187"/>
      <c r="K181" s="178"/>
      <c r="M181" s="188" t="s">
        <v>15</v>
      </c>
      <c r="N181" s="188" t="s">
        <v>15</v>
      </c>
      <c r="O181" s="188" t="s">
        <v>14</v>
      </c>
      <c r="P181" s="188" t="s">
        <v>15</v>
      </c>
      <c r="Q181" s="208" t="s">
        <v>15</v>
      </c>
      <c r="R181" s="208" t="s">
        <v>14</v>
      </c>
    </row>
    <row r="182" ht="43.2" x14ac:dyDescent="0.55000000000000004">
      <c r="A182" s="179">
        <v>13</v>
      </c>
      <c r="B182" s="180" t="s">
        <v>258</v>
      </c>
      <c r="C182" s="181" t="s">
        <v>260</v>
      </c>
      <c r="D182" s="182" t="s">
        <v>673</v>
      </c>
      <c r="E182" s="182" t="s">
        <v>265</v>
      </c>
      <c r="F182" s="182" t="s">
        <v>265</v>
      </c>
      <c r="G182" s="187" t="s">
        <v>726</v>
      </c>
      <c r="H182" s="183" t="s">
        <v>51</v>
      </c>
      <c r="I182" s="179"/>
      <c r="J182" s="187"/>
      <c r="K182" s="178"/>
      <c r="M182" s="188" t="s">
        <v>15</v>
      </c>
      <c r="N182" s="188" t="s">
        <v>15</v>
      </c>
      <c r="O182" s="188" t="s">
        <v>14</v>
      </c>
      <c r="P182" s="188" t="s">
        <v>15</v>
      </c>
      <c r="Q182" s="208" t="s">
        <v>15</v>
      </c>
      <c r="R182" s="208" t="s">
        <v>14</v>
      </c>
    </row>
    <row r="183" x14ac:dyDescent="0.55000000000000004">
      <c r="A183" s="179">
        <v>14</v>
      </c>
      <c r="B183" s="180" t="s">
        <v>255</v>
      </c>
      <c r="C183" s="181" t="s">
        <v>358</v>
      </c>
      <c r="D183" s="182" t="s">
        <v>631</v>
      </c>
      <c r="E183" s="182" t="s">
        <v>453</v>
      </c>
      <c r="F183" s="182" t="s">
        <v>453</v>
      </c>
      <c r="G183" s="187"/>
      <c r="H183" s="183" t="s">
        <v>169</v>
      </c>
      <c r="I183" s="179"/>
      <c r="J183" s="187" t="s">
        <v>659</v>
      </c>
      <c r="K183" s="178"/>
      <c r="M183" s="188" t="s">
        <v>15</v>
      </c>
      <c r="N183" s="188" t="s">
        <v>15</v>
      </c>
      <c r="O183" s="188" t="s">
        <v>15</v>
      </c>
      <c r="P183" s="188" t="s">
        <v>15</v>
      </c>
      <c r="Q183" s="208" t="s">
        <v>15</v>
      </c>
      <c r="R183" s="208" t="s">
        <v>14</v>
      </c>
    </row>
    <row r="184" x14ac:dyDescent="0.55000000000000004">
      <c r="A184" s="179">
        <v>15</v>
      </c>
      <c r="B184" s="180" t="s">
        <v>538</v>
      </c>
      <c r="C184" s="181" t="s">
        <v>358</v>
      </c>
      <c r="D184" s="182" t="s">
        <v>454</v>
      </c>
      <c r="E184" s="182" t="s">
        <v>454</v>
      </c>
      <c r="F184" s="182" t="s">
        <v>454</v>
      </c>
      <c r="G184" s="187"/>
      <c r="H184" s="183" t="s">
        <v>169</v>
      </c>
      <c r="I184" s="179"/>
      <c r="J184" s="187" t="s">
        <v>659</v>
      </c>
      <c r="K184" s="178"/>
      <c r="M184" s="188" t="s">
        <v>15</v>
      </c>
      <c r="N184" s="188" t="s">
        <v>15</v>
      </c>
      <c r="O184" s="188" t="s">
        <v>15</v>
      </c>
      <c r="P184" s="188" t="s">
        <v>15</v>
      </c>
      <c r="Q184" s="208" t="s">
        <v>15</v>
      </c>
      <c r="R184" s="208" t="s">
        <v>14</v>
      </c>
    </row>
    <row r="185" x14ac:dyDescent="0.55000000000000004">
      <c r="B185" s="13"/>
      <c r="C185" s="63"/>
      <c r="G185" s="99"/>
      <c r="H185" s="64"/>
      <c r="I185" s="64"/>
      <c r="J185" s="64"/>
      <c r="K185" s="13"/>
    </row>
    <row r="186" ht="27" x14ac:dyDescent="0.55000000000000004">
      <c r="A186" s="66" t="s">
        <v>359</v>
      </c>
      <c r="B186" s="58"/>
      <c r="C186" s="59"/>
      <c r="D186" s="59"/>
      <c r="E186" s="28"/>
      <c r="F186" s="59"/>
      <c r="G186" s="59"/>
      <c r="H186" s="59"/>
      <c r="I186" s="59"/>
      <c r="J186" s="59"/>
      <c r="K186" s="59"/>
      <c r="AA186" s="256" t="inlineStr">
        <is>
          <t xml:space="preserve">21-Oct: Keep (functional approval). Missing: Operations, Maintenance + level approvals (TM / Regional / Global).</t>
        </is>
      </c>
    </row>
    <row r="187" ht="121.2" x14ac:dyDescent="0.55000000000000004">
      <c r="A187" s="194" t="s">
        <v>37</v>
      </c>
      <c r="B187" s="194" t="s">
        <v>43</v>
      </c>
      <c r="C187" s="194" t="s">
        <v>44</v>
      </c>
      <c r="D187" s="194" t="s">
        <v>581</v>
      </c>
      <c r="E187" s="194" t="s">
        <v>552</v>
      </c>
      <c r="F187" s="194" t="s">
        <v>553</v>
      </c>
      <c r="G187" s="194" t="s">
        <v>19</v>
      </c>
      <c r="H187" s="194" t="s">
        <v>36</v>
      </c>
      <c r="I187" s="185" t="s">
        <v>554</v>
      </c>
      <c r="J187" s="194" t="s">
        <v>47</v>
      </c>
      <c r="K187" s="186" t="s">
        <v>101</v>
      </c>
      <c r="L187" s="186" t="s">
        <v>555</v>
      </c>
      <c r="M187" s="186" t="s">
        <v>556</v>
      </c>
      <c r="N187" s="186" t="s">
        <v>657</v>
      </c>
      <c r="O187" s="186" t="s">
        <v>557</v>
      </c>
      <c r="P187" s="186" t="s">
        <v>722</v>
      </c>
      <c r="Q187" s="186" t="s">
        <v>700</v>
      </c>
      <c r="R187" s="186" t="s">
        <v>701</v>
      </c>
    </row>
    <row r="188" ht="28.8" x14ac:dyDescent="0.55000000000000004">
      <c r="A188" s="179">
        <v>1</v>
      </c>
      <c r="B188" s="180" t="s">
        <v>255</v>
      </c>
      <c r="C188" s="181" t="s">
        <v>260</v>
      </c>
      <c r="D188" s="182" t="s">
        <v>673</v>
      </c>
      <c r="E188" s="182" t="s">
        <v>208</v>
      </c>
      <c r="F188" s="182" t="s">
        <v>208</v>
      </c>
      <c r="G188" s="187"/>
      <c r="H188" s="183" t="s">
        <v>169</v>
      </c>
      <c r="I188" s="179"/>
      <c r="J188" s="187" t="s">
        <v>558</v>
      </c>
      <c r="K188" s="178"/>
      <c r="M188" s="188" t="s">
        <v>15</v>
      </c>
      <c r="N188" s="188" t="s">
        <v>14</v>
      </c>
      <c r="O188" s="188" t="s">
        <v>15</v>
      </c>
      <c r="P188" s="188" t="s">
        <v>14</v>
      </c>
      <c r="Q188" s="208" t="s">
        <v>15</v>
      </c>
      <c r="R188" s="208" t="s">
        <v>14</v>
      </c>
    </row>
    <row r="189" x14ac:dyDescent="0.55000000000000004">
      <c r="A189" s="179">
        <v>2</v>
      </c>
      <c r="B189" s="180" t="s">
        <v>538</v>
      </c>
      <c r="C189" s="181" t="s">
        <v>260</v>
      </c>
      <c r="D189" s="182" t="s">
        <v>673</v>
      </c>
      <c r="E189" s="182" t="s">
        <v>413</v>
      </c>
      <c r="F189" s="182" t="s">
        <v>413</v>
      </c>
      <c r="G189" s="187"/>
      <c r="H189" s="183" t="s">
        <v>163</v>
      </c>
      <c r="I189" s="179"/>
      <c r="J189" s="187"/>
      <c r="K189" s="178"/>
      <c r="M189" s="188" t="s">
        <v>15</v>
      </c>
      <c r="N189" s="188" t="s">
        <v>14</v>
      </c>
      <c r="O189" s="188" t="s">
        <v>15</v>
      </c>
      <c r="P189" s="188" t="s">
        <v>14</v>
      </c>
      <c r="Q189" s="209" t="s">
        <v>15</v>
      </c>
      <c r="R189" s="209" t="s">
        <v>14</v>
      </c>
    </row>
    <row r="190" ht="28.8" x14ac:dyDescent="0.55000000000000004">
      <c r="A190" s="179">
        <v>3</v>
      </c>
      <c r="B190" s="180" t="s">
        <v>255</v>
      </c>
      <c r="C190" s="181" t="s">
        <v>260</v>
      </c>
      <c r="D190" s="182" t="s">
        <v>673</v>
      </c>
      <c r="E190" s="182" t="s">
        <v>251</v>
      </c>
      <c r="F190" s="182" t="s">
        <v>251</v>
      </c>
      <c r="G190" s="187" t="s">
        <v>671</v>
      </c>
      <c r="H190" s="183" t="s">
        <v>169</v>
      </c>
      <c r="I190" s="179"/>
      <c r="J190" s="187" t="s">
        <v>655</v>
      </c>
      <c r="K190" s="178"/>
      <c r="M190" s="188" t="s">
        <v>15</v>
      </c>
      <c r="N190" s="188" t="s">
        <v>14</v>
      </c>
      <c r="O190" s="188" t="s">
        <v>15</v>
      </c>
      <c r="P190" s="188" t="s">
        <v>14</v>
      </c>
      <c r="Q190" s="208" t="s">
        <v>15</v>
      </c>
      <c r="R190" s="208" t="s">
        <v>14</v>
      </c>
    </row>
    <row r="191" x14ac:dyDescent="0.55000000000000004">
      <c r="A191" s="179">
        <v>4</v>
      </c>
      <c r="B191" s="180" t="s">
        <v>670</v>
      </c>
      <c r="C191" s="181" t="s">
        <v>260</v>
      </c>
      <c r="D191" s="182" t="s">
        <v>673</v>
      </c>
      <c r="E191" s="182" t="s">
        <v>43</v>
      </c>
      <c r="F191" s="182" t="s">
        <v>43</v>
      </c>
      <c r="G191" s="187"/>
      <c r="H191" s="183"/>
      <c r="I191" s="179"/>
      <c r="J191" s="187"/>
      <c r="K191" s="178"/>
      <c r="M191" s="188"/>
      <c r="N191" s="188"/>
      <c r="O191" s="188"/>
      <c r="P191" s="188"/>
      <c r="Q191" s="209"/>
      <c r="R191" s="209"/>
    </row>
    <row r="192" ht="28.8" x14ac:dyDescent="0.55000000000000004">
      <c r="A192" s="179">
        <v>5</v>
      </c>
      <c r="B192" s="180" t="s">
        <v>255</v>
      </c>
      <c r="C192" s="181" t="s">
        <v>251</v>
      </c>
      <c r="D192" s="182" t="s">
        <v>673</v>
      </c>
      <c r="E192" s="182" t="s">
        <v>178</v>
      </c>
      <c r="F192" s="182" t="s">
        <v>178</v>
      </c>
      <c r="G192" s="187" t="s">
        <v>708</v>
      </c>
      <c r="H192" s="183" t="s">
        <v>169</v>
      </c>
      <c r="I192" s="184" t="s">
        <v>709</v>
      </c>
      <c r="J192" s="187" t="s">
        <v>672</v>
      </c>
      <c r="K192" s="178"/>
      <c r="M192" s="188" t="s">
        <v>15</v>
      </c>
      <c r="N192" s="188" t="s">
        <v>14</v>
      </c>
      <c r="O192" s="188" t="s">
        <v>15</v>
      </c>
      <c r="P192" s="188" t="s">
        <v>14</v>
      </c>
      <c r="Q192" s="208" t="s">
        <v>15</v>
      </c>
      <c r="R192" s="208" t="s">
        <v>14</v>
      </c>
    </row>
    <row r="193" ht="43.2" x14ac:dyDescent="0.55000000000000004">
      <c r="A193" s="179">
        <v>6</v>
      </c>
      <c r="B193" s="180" t="s">
        <v>255</v>
      </c>
      <c r="C193" s="181" t="s">
        <v>252</v>
      </c>
      <c r="D193" s="182" t="s">
        <v>673</v>
      </c>
      <c r="E193" s="182" t="s">
        <v>205</v>
      </c>
      <c r="F193" s="182" t="s">
        <v>205</v>
      </c>
      <c r="G193" s="187" t="s">
        <v>714</v>
      </c>
      <c r="H193" s="183" t="s">
        <v>51</v>
      </c>
      <c r="I193" s="184" t="s">
        <v>716</v>
      </c>
      <c r="J193" s="187"/>
      <c r="K193" s="178"/>
      <c r="M193" s="188" t="s">
        <v>14</v>
      </c>
      <c r="N193" s="188" t="s">
        <v>15</v>
      </c>
      <c r="O193" s="188" t="s">
        <v>15</v>
      </c>
      <c r="P193" s="188" t="s">
        <v>14</v>
      </c>
      <c r="Q193" s="209" t="s">
        <v>15</v>
      </c>
      <c r="R193" s="209" t="s">
        <v>14</v>
      </c>
    </row>
    <row r="194" ht="100.8" x14ac:dyDescent="0.55000000000000004">
      <c r="A194" s="179">
        <v>7</v>
      </c>
      <c r="B194" s="180" t="s">
        <v>255</v>
      </c>
      <c r="C194" s="181" t="s">
        <v>252</v>
      </c>
      <c r="D194" s="182" t="s">
        <v>673</v>
      </c>
      <c r="E194" s="182" t="s">
        <v>254</v>
      </c>
      <c r="F194" s="182" t="s">
        <v>407</v>
      </c>
      <c r="G194" s="184" t="s">
        <v>712</v>
      </c>
      <c r="H194" s="183" t="s">
        <v>169</v>
      </c>
      <c r="I194" s="184" t="s">
        <v>715</v>
      </c>
      <c r="J194" s="187" t="s">
        <v>721</v>
      </c>
      <c r="K194" s="178"/>
      <c r="M194" s="188" t="s">
        <v>14</v>
      </c>
      <c r="N194" s="188" t="s">
        <v>15</v>
      </c>
      <c r="O194" s="188" t="s">
        <v>15</v>
      </c>
      <c r="P194" s="188" t="s">
        <v>14</v>
      </c>
      <c r="Q194" s="208" t="s">
        <v>15</v>
      </c>
      <c r="R194" s="208" t="s">
        <v>14</v>
      </c>
    </row>
    <row r="195" ht="72" x14ac:dyDescent="0.55000000000000004">
      <c r="A195" s="179">
        <v>8</v>
      </c>
      <c r="B195" s="180" t="s">
        <v>255</v>
      </c>
      <c r="C195" s="181" t="s">
        <v>260</v>
      </c>
      <c r="D195" s="182" t="s">
        <v>673</v>
      </c>
      <c r="E195" s="182" t="s">
        <v>3</v>
      </c>
      <c r="F195" s="182" t="s">
        <v>537</v>
      </c>
      <c r="G195" s="187" t="s">
        <v>717</v>
      </c>
      <c r="H195" s="183" t="s">
        <v>52</v>
      </c>
      <c r="I195" s="184" t="s">
        <v>718</v>
      </c>
      <c r="J195" s="187" t="s">
        <v>720</v>
      </c>
      <c r="K195" s="178"/>
      <c r="M195" s="188" t="s">
        <v>14</v>
      </c>
      <c r="N195" s="188" t="s">
        <v>15</v>
      </c>
      <c r="O195" s="188" t="s">
        <v>15</v>
      </c>
      <c r="P195" s="188" t="s">
        <v>14</v>
      </c>
      <c r="Q195" s="209" t="s">
        <v>15</v>
      </c>
      <c r="R195" s="209" t="s">
        <v>14</v>
      </c>
    </row>
    <row r="196" s="59" customFormat="1" x14ac:dyDescent="0.55000000000000004">
      <c r="A196" s="179">
        <v>9</v>
      </c>
      <c r="B196" s="180" t="s">
        <v>258</v>
      </c>
      <c r="C196" s="181" t="s">
        <v>260</v>
      </c>
      <c r="D196" s="182" t="s">
        <v>673</v>
      </c>
      <c r="E196" s="182" t="s">
        <v>412</v>
      </c>
      <c r="F196" s="182" t="s">
        <v>412</v>
      </c>
      <c r="G196" s="187"/>
      <c r="H196" s="183" t="s">
        <v>108</v>
      </c>
      <c r="I196" s="179"/>
      <c r="J196" s="187"/>
      <c r="K196" s="178"/>
      <c r="L196" s="62"/>
      <c r="M196" s="188" t="s">
        <v>15</v>
      </c>
      <c r="N196" s="188" t="s">
        <v>15</v>
      </c>
      <c r="O196" s="188" t="s">
        <v>14</v>
      </c>
      <c r="P196" s="188" t="s">
        <v>15</v>
      </c>
      <c r="Q196" s="208" t="s">
        <v>15</v>
      </c>
      <c r="R196" s="208" t="s">
        <v>14</v>
      </c>
      <c r="S196" s="62"/>
      <c r="T196" s="62"/>
      <c r="U196" s="62"/>
      <c r="V196" s="62"/>
      <c r="W196" s="62"/>
      <c r="X196" s="62"/>
      <c r="Y196" s="62"/>
      <c r="Z196" s="62"/>
      <c r="AA196" s="62"/>
    </row>
    <row r="197" ht="28.8" x14ac:dyDescent="0.55000000000000004">
      <c r="A197" s="179">
        <v>10</v>
      </c>
      <c r="B197" s="180" t="s">
        <v>258</v>
      </c>
      <c r="C197" s="181" t="s">
        <v>260</v>
      </c>
      <c r="D197" s="182" t="s">
        <v>673</v>
      </c>
      <c r="E197" s="182" t="s">
        <v>263</v>
      </c>
      <c r="F197" s="182" t="s">
        <v>263</v>
      </c>
      <c r="G197" s="187" t="s">
        <v>724</v>
      </c>
      <c r="H197" s="183" t="s">
        <v>51</v>
      </c>
      <c r="I197" s="179"/>
      <c r="J197" s="187" t="s">
        <v>723</v>
      </c>
      <c r="K197" s="178"/>
      <c r="M197" s="188" t="s">
        <v>15</v>
      </c>
      <c r="N197" s="188" t="s">
        <v>15</v>
      </c>
      <c r="O197" s="188" t="s">
        <v>14</v>
      </c>
      <c r="P197" s="188" t="s">
        <v>15</v>
      </c>
      <c r="Q197" s="209" t="s">
        <v>15</v>
      </c>
      <c r="R197" s="209" t="s">
        <v>14</v>
      </c>
    </row>
    <row r="198" x14ac:dyDescent="0.55000000000000004">
      <c r="A198" s="179">
        <v>11</v>
      </c>
      <c r="B198" s="180" t="s">
        <v>258</v>
      </c>
      <c r="C198" s="181" t="s">
        <v>260</v>
      </c>
      <c r="D198" s="182" t="s">
        <v>673</v>
      </c>
      <c r="E198" s="182" t="s">
        <v>429</v>
      </c>
      <c r="F198" s="182" t="s">
        <v>429</v>
      </c>
      <c r="G198" s="187" t="s">
        <v>19</v>
      </c>
      <c r="H198" s="183" t="s">
        <v>51</v>
      </c>
      <c r="I198" s="179"/>
      <c r="J198" s="187"/>
      <c r="K198" s="178"/>
      <c r="M198" s="188" t="s">
        <v>15</v>
      </c>
      <c r="N198" s="188" t="s">
        <v>15</v>
      </c>
      <c r="O198" s="188" t="s">
        <v>14</v>
      </c>
      <c r="P198" s="188" t="s">
        <v>15</v>
      </c>
      <c r="Q198" s="208" t="s">
        <v>15</v>
      </c>
      <c r="R198" s="208" t="s">
        <v>14</v>
      </c>
    </row>
    <row r="199" x14ac:dyDescent="0.55000000000000004">
      <c r="A199" s="179">
        <v>12</v>
      </c>
      <c r="B199" s="180" t="s">
        <v>258</v>
      </c>
      <c r="C199" s="181" t="s">
        <v>260</v>
      </c>
      <c r="D199" s="182" t="s">
        <v>673</v>
      </c>
      <c r="E199" s="182" t="s">
        <v>415</v>
      </c>
      <c r="F199" s="182" t="s">
        <v>415</v>
      </c>
      <c r="G199" s="187" t="s">
        <v>725</v>
      </c>
      <c r="H199" s="183" t="s">
        <v>52</v>
      </c>
      <c r="I199" s="179"/>
      <c r="J199" s="187"/>
      <c r="K199" s="178"/>
      <c r="M199" s="188" t="s">
        <v>15</v>
      </c>
      <c r="N199" s="188" t="s">
        <v>15</v>
      </c>
      <c r="O199" s="188" t="s">
        <v>14</v>
      </c>
      <c r="P199" s="188" t="s">
        <v>15</v>
      </c>
      <c r="Q199" s="208" t="s">
        <v>15</v>
      </c>
      <c r="R199" s="208" t="s">
        <v>14</v>
      </c>
    </row>
    <row r="200" ht="43.2" x14ac:dyDescent="0.55000000000000004">
      <c r="A200" s="179">
        <v>13</v>
      </c>
      <c r="B200" s="180" t="s">
        <v>258</v>
      </c>
      <c r="C200" s="181" t="s">
        <v>260</v>
      </c>
      <c r="D200" s="182" t="s">
        <v>673</v>
      </c>
      <c r="E200" s="182" t="s">
        <v>265</v>
      </c>
      <c r="F200" s="182" t="s">
        <v>265</v>
      </c>
      <c r="G200" s="187" t="s">
        <v>726</v>
      </c>
      <c r="H200" s="183" t="s">
        <v>51</v>
      </c>
      <c r="I200" s="179"/>
      <c r="J200" s="187"/>
      <c r="K200" s="178"/>
      <c r="M200" s="188" t="s">
        <v>15</v>
      </c>
      <c r="N200" s="188" t="s">
        <v>15</v>
      </c>
      <c r="O200" s="188" t="s">
        <v>14</v>
      </c>
      <c r="P200" s="188" t="s">
        <v>15</v>
      </c>
      <c r="Q200" s="208" t="s">
        <v>15</v>
      </c>
      <c r="R200" s="208" t="s">
        <v>14</v>
      </c>
    </row>
    <row r="201" x14ac:dyDescent="0.55000000000000004">
      <c r="A201" s="179">
        <v>13</v>
      </c>
      <c r="B201" s="180" t="s">
        <v>255</v>
      </c>
      <c r="C201" s="181" t="s">
        <v>359</v>
      </c>
      <c r="D201" s="182" t="s">
        <v>631</v>
      </c>
      <c r="E201" s="182" t="s">
        <v>453</v>
      </c>
      <c r="F201" s="182" t="s">
        <v>453</v>
      </c>
      <c r="G201" s="187"/>
      <c r="H201" s="183" t="s">
        <v>169</v>
      </c>
      <c r="I201" s="179"/>
      <c r="J201" s="187" t="s">
        <v>659</v>
      </c>
      <c r="K201" s="178"/>
      <c r="M201" s="188" t="s">
        <v>15</v>
      </c>
      <c r="N201" s="188" t="s">
        <v>15</v>
      </c>
      <c r="O201" s="188" t="s">
        <v>15</v>
      </c>
      <c r="P201" s="188" t="s">
        <v>15</v>
      </c>
      <c r="Q201" s="208" t="s">
        <v>15</v>
      </c>
      <c r="R201" s="208" t="s">
        <v>14</v>
      </c>
    </row>
    <row r="202" x14ac:dyDescent="0.55000000000000004">
      <c r="A202" s="179">
        <v>14</v>
      </c>
      <c r="B202" s="180" t="s">
        <v>538</v>
      </c>
      <c r="C202" s="181" t="s">
        <v>359</v>
      </c>
      <c r="D202" s="182" t="s">
        <v>454</v>
      </c>
      <c r="E202" s="182" t="s">
        <v>454</v>
      </c>
      <c r="F202" s="182" t="s">
        <v>454</v>
      </c>
      <c r="G202" s="187"/>
      <c r="H202" s="183" t="s">
        <v>169</v>
      </c>
      <c r="I202" s="179"/>
      <c r="J202" s="187" t="s">
        <v>659</v>
      </c>
      <c r="K202" s="178"/>
      <c r="M202" s="188" t="s">
        <v>15</v>
      </c>
      <c r="N202" s="188" t="s">
        <v>15</v>
      </c>
      <c r="O202" s="188" t="s">
        <v>15</v>
      </c>
      <c r="P202" s="188" t="s">
        <v>15</v>
      </c>
      <c r="Q202" s="208" t="s">
        <v>15</v>
      </c>
      <c r="R202" s="208" t="s">
        <v>14</v>
      </c>
    </row>
    <row r="203" x14ac:dyDescent="0.55000000000000004">
      <c r="B203" s="13"/>
      <c r="C203" s="63"/>
      <c r="G203" s="99"/>
      <c r="H203" s="64"/>
      <c r="I203" s="64"/>
      <c r="J203" s="64"/>
      <c r="K203" s="13"/>
    </row>
    <row r="204" ht="27" x14ac:dyDescent="0.55000000000000004">
      <c r="A204" s="66" t="s">
        <v>360</v>
      </c>
      <c r="B204" s="58"/>
      <c r="C204" s="59"/>
      <c r="D204" s="59"/>
      <c r="E204" s="28"/>
      <c r="F204" s="59"/>
      <c r="G204" s="59"/>
      <c r="H204" s="59"/>
      <c r="I204" s="59"/>
      <c r="J204" s="59"/>
      <c r="K204" s="59"/>
      <c r="AA204" s="256" t="inlineStr">
        <is>
          <t xml:space="preserve">21-Oct: [TBC] re-use for a missing type - Intelex to propose. Missing: Operations, Maintenance + level approvals (TM / Regional / Global).</t>
        </is>
      </c>
    </row>
    <row r="205" ht="121.2" x14ac:dyDescent="0.55000000000000004">
      <c r="A205" s="194" t="s">
        <v>37</v>
      </c>
      <c r="B205" s="194" t="s">
        <v>43</v>
      </c>
      <c r="C205" s="194" t="s">
        <v>44</v>
      </c>
      <c r="D205" s="194" t="s">
        <v>581</v>
      </c>
      <c r="E205" s="194" t="s">
        <v>552</v>
      </c>
      <c r="F205" s="194" t="s">
        <v>553</v>
      </c>
      <c r="G205" s="194" t="s">
        <v>19</v>
      </c>
      <c r="H205" s="194" t="s">
        <v>36</v>
      </c>
      <c r="I205" s="185" t="s">
        <v>554</v>
      </c>
      <c r="J205" s="194" t="s">
        <v>47</v>
      </c>
      <c r="K205" s="186" t="s">
        <v>101</v>
      </c>
      <c r="L205" s="186" t="s">
        <v>555</v>
      </c>
      <c r="M205" s="186" t="s">
        <v>556</v>
      </c>
      <c r="N205" s="186" t="s">
        <v>657</v>
      </c>
      <c r="O205" s="186" t="s">
        <v>557</v>
      </c>
      <c r="P205" s="186" t="s">
        <v>722</v>
      </c>
      <c r="Q205" s="186" t="s">
        <v>700</v>
      </c>
      <c r="R205" s="186" t="s">
        <v>701</v>
      </c>
    </row>
    <row r="206" ht="28.8" x14ac:dyDescent="0.55000000000000004">
      <c r="A206" s="179">
        <v>1</v>
      </c>
      <c r="B206" s="180" t="s">
        <v>255</v>
      </c>
      <c r="C206" s="181" t="s">
        <v>260</v>
      </c>
      <c r="D206" s="182" t="s">
        <v>674</v>
      </c>
      <c r="E206" s="182" t="s">
        <v>208</v>
      </c>
      <c r="F206" s="182" t="s">
        <v>208</v>
      </c>
      <c r="G206" s="187"/>
      <c r="H206" s="183" t="s">
        <v>169</v>
      </c>
      <c r="I206" s="179"/>
      <c r="J206" s="187" t="s">
        <v>558</v>
      </c>
      <c r="K206" s="178"/>
      <c r="M206" s="188" t="s">
        <v>15</v>
      </c>
      <c r="N206" s="188" t="s">
        <v>14</v>
      </c>
      <c r="O206" s="188" t="s">
        <v>15</v>
      </c>
      <c r="P206" s="188" t="s">
        <v>14</v>
      </c>
      <c r="Q206" s="208" t="s">
        <v>15</v>
      </c>
      <c r="R206" s="208" t="s">
        <v>14</v>
      </c>
    </row>
    <row r="207" x14ac:dyDescent="0.55000000000000004">
      <c r="A207" s="179">
        <v>2</v>
      </c>
      <c r="B207" s="180" t="s">
        <v>538</v>
      </c>
      <c r="C207" s="181" t="s">
        <v>260</v>
      </c>
      <c r="D207" s="182" t="s">
        <v>674</v>
      </c>
      <c r="E207" s="182" t="s">
        <v>413</v>
      </c>
      <c r="F207" s="182" t="s">
        <v>413</v>
      </c>
      <c r="G207" s="187"/>
      <c r="H207" s="183" t="s">
        <v>163</v>
      </c>
      <c r="I207" s="179"/>
      <c r="J207" s="187"/>
      <c r="K207" s="178"/>
      <c r="M207" s="188" t="s">
        <v>15</v>
      </c>
      <c r="N207" s="188" t="s">
        <v>14</v>
      </c>
      <c r="O207" s="188" t="s">
        <v>15</v>
      </c>
      <c r="P207" s="188" t="s">
        <v>14</v>
      </c>
      <c r="Q207" s="209" t="s">
        <v>15</v>
      </c>
      <c r="R207" s="209" t="s">
        <v>14</v>
      </c>
    </row>
    <row r="208" ht="28.8" x14ac:dyDescent="0.55000000000000004">
      <c r="A208" s="179">
        <v>3</v>
      </c>
      <c r="B208" s="180" t="s">
        <v>255</v>
      </c>
      <c r="C208" s="181" t="s">
        <v>260</v>
      </c>
      <c r="D208" s="182" t="s">
        <v>674</v>
      </c>
      <c r="E208" s="182" t="s">
        <v>251</v>
      </c>
      <c r="F208" s="182" t="s">
        <v>251</v>
      </c>
      <c r="G208" s="187" t="s">
        <v>671</v>
      </c>
      <c r="H208" s="183" t="s">
        <v>169</v>
      </c>
      <c r="I208" s="179"/>
      <c r="J208" s="187" t="s">
        <v>655</v>
      </c>
      <c r="K208" s="178"/>
      <c r="M208" s="188" t="s">
        <v>15</v>
      </c>
      <c r="N208" s="188" t="s">
        <v>14</v>
      </c>
      <c r="O208" s="188" t="s">
        <v>15</v>
      </c>
      <c r="P208" s="188" t="s">
        <v>14</v>
      </c>
      <c r="Q208" s="208" t="s">
        <v>15</v>
      </c>
      <c r="R208" s="208" t="s">
        <v>14</v>
      </c>
    </row>
    <row r="209" x14ac:dyDescent="0.55000000000000004">
      <c r="A209" s="179">
        <v>4</v>
      </c>
      <c r="B209" s="180" t="s">
        <v>670</v>
      </c>
      <c r="C209" s="181" t="s">
        <v>260</v>
      </c>
      <c r="D209" s="182" t="s">
        <v>674</v>
      </c>
      <c r="E209" s="182" t="s">
        <v>43</v>
      </c>
      <c r="F209" s="182" t="s">
        <v>43</v>
      </c>
      <c r="G209" s="187"/>
      <c r="H209" s="183"/>
      <c r="I209" s="179"/>
      <c r="J209" s="187"/>
      <c r="K209" s="178"/>
      <c r="M209" s="188"/>
      <c r="N209" s="188"/>
      <c r="O209" s="188"/>
      <c r="P209" s="188"/>
      <c r="Q209" s="209"/>
      <c r="R209" s="209"/>
    </row>
    <row r="210" ht="28.8" x14ac:dyDescent="0.55000000000000004">
      <c r="A210" s="179">
        <v>5</v>
      </c>
      <c r="B210" s="180" t="s">
        <v>255</v>
      </c>
      <c r="C210" s="181" t="s">
        <v>251</v>
      </c>
      <c r="D210" s="182" t="s">
        <v>674</v>
      </c>
      <c r="E210" s="182" t="s">
        <v>178</v>
      </c>
      <c r="F210" s="182" t="s">
        <v>178</v>
      </c>
      <c r="G210" s="187" t="s">
        <v>708</v>
      </c>
      <c r="H210" s="183" t="s">
        <v>169</v>
      </c>
      <c r="I210" s="184" t="s">
        <v>709</v>
      </c>
      <c r="J210" s="187" t="s">
        <v>672</v>
      </c>
      <c r="K210" s="178"/>
      <c r="M210" s="188" t="s">
        <v>15</v>
      </c>
      <c r="N210" s="188" t="s">
        <v>14</v>
      </c>
      <c r="O210" s="188" t="s">
        <v>15</v>
      </c>
      <c r="P210" s="188" t="s">
        <v>14</v>
      </c>
      <c r="Q210" s="208" t="s">
        <v>15</v>
      </c>
      <c r="R210" s="208" t="s">
        <v>14</v>
      </c>
    </row>
    <row r="211" ht="43.2" x14ac:dyDescent="0.55000000000000004">
      <c r="A211" s="179">
        <v>6</v>
      </c>
      <c r="B211" s="180" t="s">
        <v>255</v>
      </c>
      <c r="C211" s="181" t="s">
        <v>252</v>
      </c>
      <c r="D211" s="182" t="s">
        <v>674</v>
      </c>
      <c r="E211" s="182" t="s">
        <v>205</v>
      </c>
      <c r="F211" s="182" t="s">
        <v>205</v>
      </c>
      <c r="G211" s="187" t="s">
        <v>714</v>
      </c>
      <c r="H211" s="183" t="s">
        <v>51</v>
      </c>
      <c r="I211" s="184" t="s">
        <v>716</v>
      </c>
      <c r="J211" s="187"/>
      <c r="K211" s="178"/>
      <c r="M211" s="188" t="s">
        <v>14</v>
      </c>
      <c r="N211" s="188" t="s">
        <v>15</v>
      </c>
      <c r="O211" s="188" t="s">
        <v>15</v>
      </c>
      <c r="P211" s="188" t="s">
        <v>14</v>
      </c>
      <c r="Q211" s="209" t="s">
        <v>15</v>
      </c>
      <c r="R211" s="209" t="s">
        <v>14</v>
      </c>
    </row>
    <row r="212" ht="100.8" x14ac:dyDescent="0.55000000000000004">
      <c r="A212" s="179">
        <v>7</v>
      </c>
      <c r="B212" s="180" t="s">
        <v>255</v>
      </c>
      <c r="C212" s="181" t="s">
        <v>252</v>
      </c>
      <c r="D212" s="182" t="s">
        <v>674</v>
      </c>
      <c r="E212" s="182" t="s">
        <v>254</v>
      </c>
      <c r="F212" s="182" t="s">
        <v>407</v>
      </c>
      <c r="G212" s="184" t="s">
        <v>712</v>
      </c>
      <c r="H212" s="183" t="s">
        <v>169</v>
      </c>
      <c r="I212" s="184" t="s">
        <v>715</v>
      </c>
      <c r="J212" s="187" t="s">
        <v>721</v>
      </c>
      <c r="K212" s="178"/>
      <c r="M212" s="188" t="s">
        <v>14</v>
      </c>
      <c r="N212" s="188" t="s">
        <v>15</v>
      </c>
      <c r="O212" s="188" t="s">
        <v>15</v>
      </c>
      <c r="P212" s="188" t="s">
        <v>14</v>
      </c>
      <c r="Q212" s="208" t="s">
        <v>15</v>
      </c>
      <c r="R212" s="208" t="s">
        <v>14</v>
      </c>
    </row>
    <row r="213" ht="72" x14ac:dyDescent="0.55000000000000004">
      <c r="A213" s="179">
        <v>8</v>
      </c>
      <c r="B213" s="180" t="s">
        <v>255</v>
      </c>
      <c r="C213" s="181" t="s">
        <v>260</v>
      </c>
      <c r="D213" s="182" t="s">
        <v>674</v>
      </c>
      <c r="E213" s="182" t="s">
        <v>3</v>
      </c>
      <c r="F213" s="182" t="s">
        <v>537</v>
      </c>
      <c r="G213" s="187" t="s">
        <v>717</v>
      </c>
      <c r="H213" s="183" t="s">
        <v>52</v>
      </c>
      <c r="I213" s="184" t="s">
        <v>718</v>
      </c>
      <c r="J213" s="187" t="s">
        <v>720</v>
      </c>
      <c r="K213" s="178"/>
      <c r="M213" s="188" t="s">
        <v>14</v>
      </c>
      <c r="N213" s="188" t="s">
        <v>15</v>
      </c>
      <c r="O213" s="188" t="s">
        <v>15</v>
      </c>
      <c r="P213" s="188" t="s">
        <v>14</v>
      </c>
      <c r="Q213" s="209" t="s">
        <v>15</v>
      </c>
      <c r="R213" s="209" t="s">
        <v>14</v>
      </c>
    </row>
    <row r="214" s="59" customFormat="1" x14ac:dyDescent="0.55000000000000004">
      <c r="A214" s="179">
        <v>9</v>
      </c>
      <c r="B214" s="180" t="s">
        <v>258</v>
      </c>
      <c r="C214" s="181" t="s">
        <v>260</v>
      </c>
      <c r="D214" s="182" t="s">
        <v>674</v>
      </c>
      <c r="E214" s="182" t="s">
        <v>412</v>
      </c>
      <c r="F214" s="182" t="s">
        <v>412</v>
      </c>
      <c r="G214" s="187"/>
      <c r="H214" s="183" t="s">
        <v>108</v>
      </c>
      <c r="I214" s="179"/>
      <c r="J214" s="187"/>
      <c r="K214" s="178"/>
      <c r="L214" s="62"/>
      <c r="M214" s="188" t="s">
        <v>15</v>
      </c>
      <c r="N214" s="188" t="s">
        <v>15</v>
      </c>
      <c r="O214" s="188" t="s">
        <v>14</v>
      </c>
      <c r="P214" s="188" t="s">
        <v>15</v>
      </c>
      <c r="Q214" s="208" t="s">
        <v>15</v>
      </c>
      <c r="R214" s="208" t="s">
        <v>14</v>
      </c>
      <c r="S214" s="62"/>
      <c r="T214" s="62"/>
      <c r="U214" s="62"/>
      <c r="V214" s="62"/>
      <c r="W214" s="62"/>
      <c r="X214" s="62"/>
      <c r="Y214" s="62"/>
      <c r="Z214" s="62"/>
      <c r="AA214" s="62"/>
    </row>
    <row r="215" ht="28.8" x14ac:dyDescent="0.55000000000000004">
      <c r="A215" s="179">
        <v>10</v>
      </c>
      <c r="B215" s="180" t="s">
        <v>258</v>
      </c>
      <c r="C215" s="181" t="s">
        <v>260</v>
      </c>
      <c r="D215" s="182" t="s">
        <v>673</v>
      </c>
      <c r="E215" s="182" t="s">
        <v>263</v>
      </c>
      <c r="F215" s="182" t="s">
        <v>263</v>
      </c>
      <c r="G215" s="187" t="s">
        <v>724</v>
      </c>
      <c r="H215" s="183" t="s">
        <v>51</v>
      </c>
      <c r="I215" s="179"/>
      <c r="J215" s="187" t="s">
        <v>723</v>
      </c>
      <c r="K215" s="178"/>
      <c r="M215" s="188" t="s">
        <v>15</v>
      </c>
      <c r="N215" s="188" t="s">
        <v>15</v>
      </c>
      <c r="O215" s="188" t="s">
        <v>14</v>
      </c>
      <c r="P215" s="188" t="s">
        <v>15</v>
      </c>
      <c r="Q215" s="209" t="s">
        <v>15</v>
      </c>
      <c r="R215" s="209" t="s">
        <v>14</v>
      </c>
    </row>
    <row r="216" x14ac:dyDescent="0.55000000000000004">
      <c r="A216" s="179">
        <v>11</v>
      </c>
      <c r="B216" s="180" t="s">
        <v>258</v>
      </c>
      <c r="C216" s="181" t="s">
        <v>260</v>
      </c>
      <c r="D216" s="182" t="s">
        <v>673</v>
      </c>
      <c r="E216" s="182" t="s">
        <v>429</v>
      </c>
      <c r="F216" s="182" t="s">
        <v>429</v>
      </c>
      <c r="G216" s="187" t="s">
        <v>19</v>
      </c>
      <c r="H216" s="183" t="s">
        <v>51</v>
      </c>
      <c r="I216" s="179"/>
      <c r="J216" s="187"/>
      <c r="K216" s="178"/>
      <c r="M216" s="188" t="s">
        <v>15</v>
      </c>
      <c r="N216" s="188" t="s">
        <v>15</v>
      </c>
      <c r="O216" s="188" t="s">
        <v>14</v>
      </c>
      <c r="P216" s="188" t="s">
        <v>15</v>
      </c>
      <c r="Q216" s="208" t="s">
        <v>15</v>
      </c>
      <c r="R216" s="208" t="s">
        <v>14</v>
      </c>
    </row>
    <row r="217" x14ac:dyDescent="0.55000000000000004">
      <c r="A217" s="179">
        <v>12</v>
      </c>
      <c r="B217" s="180" t="s">
        <v>258</v>
      </c>
      <c r="C217" s="181" t="s">
        <v>260</v>
      </c>
      <c r="D217" s="182" t="s">
        <v>673</v>
      </c>
      <c r="E217" s="182" t="s">
        <v>415</v>
      </c>
      <c r="F217" s="182" t="s">
        <v>415</v>
      </c>
      <c r="G217" s="187" t="s">
        <v>725</v>
      </c>
      <c r="H217" s="183" t="s">
        <v>52</v>
      </c>
      <c r="I217" s="179"/>
      <c r="J217" s="187"/>
      <c r="K217" s="178"/>
      <c r="M217" s="188" t="s">
        <v>15</v>
      </c>
      <c r="N217" s="188" t="s">
        <v>15</v>
      </c>
      <c r="O217" s="188" t="s">
        <v>14</v>
      </c>
      <c r="P217" s="188" t="s">
        <v>15</v>
      </c>
      <c r="Q217" s="208" t="s">
        <v>15</v>
      </c>
      <c r="R217" s="208" t="s">
        <v>14</v>
      </c>
    </row>
    <row r="218" ht="43.2" x14ac:dyDescent="0.55000000000000004">
      <c r="A218" s="179">
        <v>13</v>
      </c>
      <c r="B218" s="180" t="s">
        <v>258</v>
      </c>
      <c r="C218" s="181" t="s">
        <v>260</v>
      </c>
      <c r="D218" s="182" t="s">
        <v>673</v>
      </c>
      <c r="E218" s="182" t="s">
        <v>265</v>
      </c>
      <c r="F218" s="182" t="s">
        <v>265</v>
      </c>
      <c r="G218" s="187" t="s">
        <v>726</v>
      </c>
      <c r="H218" s="183" t="s">
        <v>51</v>
      </c>
      <c r="I218" s="179"/>
      <c r="J218" s="187"/>
      <c r="K218" s="178"/>
      <c r="M218" s="188" t="s">
        <v>15</v>
      </c>
      <c r="N218" s="188" t="s">
        <v>15</v>
      </c>
      <c r="O218" s="188" t="s">
        <v>14</v>
      </c>
      <c r="P218" s="188" t="s">
        <v>15</v>
      </c>
      <c r="Q218" s="208" t="s">
        <v>15</v>
      </c>
      <c r="R218" s="208" t="s">
        <v>14</v>
      </c>
    </row>
    <row r="219" x14ac:dyDescent="0.55000000000000004">
      <c r="A219" s="179">
        <v>11</v>
      </c>
      <c r="B219" s="180" t="s">
        <v>255</v>
      </c>
      <c r="C219" s="181" t="s">
        <v>360</v>
      </c>
      <c r="D219" s="182" t="s">
        <v>631</v>
      </c>
      <c r="E219" s="182" t="s">
        <v>453</v>
      </c>
      <c r="F219" s="182" t="s">
        <v>453</v>
      </c>
      <c r="G219" s="187"/>
      <c r="H219" s="183" t="s">
        <v>169</v>
      </c>
      <c r="I219" s="179"/>
      <c r="J219" s="187" t="s">
        <v>659</v>
      </c>
      <c r="K219" s="178"/>
      <c r="M219" s="188" t="s">
        <v>15</v>
      </c>
      <c r="N219" s="188" t="s">
        <v>15</v>
      </c>
      <c r="O219" s="188" t="s">
        <v>15</v>
      </c>
      <c r="P219" s="188" t="s">
        <v>15</v>
      </c>
      <c r="Q219" s="208" t="s">
        <v>15</v>
      </c>
      <c r="R219" s="208" t="s">
        <v>14</v>
      </c>
    </row>
    <row r="220" x14ac:dyDescent="0.55000000000000004">
      <c r="A220" s="179">
        <v>12</v>
      </c>
      <c r="B220" s="180" t="s">
        <v>538</v>
      </c>
      <c r="C220" s="181" t="s">
        <v>360</v>
      </c>
      <c r="D220" s="182" t="s">
        <v>454</v>
      </c>
      <c r="E220" s="182" t="s">
        <v>454</v>
      </c>
      <c r="F220" s="182" t="s">
        <v>454</v>
      </c>
      <c r="G220" s="187"/>
      <c r="H220" s="183" t="s">
        <v>169</v>
      </c>
      <c r="I220" s="179"/>
      <c r="J220" s="187" t="s">
        <v>659</v>
      </c>
      <c r="K220" s="178"/>
      <c r="M220" s="188" t="s">
        <v>15</v>
      </c>
      <c r="N220" s="188" t="s">
        <v>15</v>
      </c>
      <c r="O220" s="188" t="s">
        <v>15</v>
      </c>
      <c r="P220" s="188" t="s">
        <v>15</v>
      </c>
      <c r="Q220" s="208" t="s">
        <v>15</v>
      </c>
      <c r="R220" s="208" t="s">
        <v>14</v>
      </c>
    </row>
    <row r="221" x14ac:dyDescent="0.55000000000000004">
      <c r="B221" s="13"/>
      <c r="C221" s="63"/>
      <c r="G221" s="99"/>
      <c r="H221" s="64"/>
      <c r="I221" s="64"/>
      <c r="J221" s="64"/>
      <c r="K221" s="13"/>
    </row>
    <row r="222" ht="27" x14ac:dyDescent="0.55000000000000004">
      <c r="A222" s="66" t="s">
        <v>364</v>
      </c>
      <c r="B222" s="58"/>
      <c r="C222" s="59"/>
      <c r="D222" s="59"/>
      <c r="E222" s="28"/>
      <c r="F222" s="59"/>
      <c r="G222" s="59"/>
      <c r="H222" s="59"/>
      <c r="I222" s="59"/>
      <c r="J222" s="59"/>
      <c r="K222" s="59"/>
      <c r="AA222" s="256" t="inlineStr">
        <is>
          <t xml:space="preserve">21-Oct: [TBC] re-use for a missing type - Intelex to propose. Missing: Operations, Maintenance + level approvals (TM / Regional / Global).</t>
        </is>
      </c>
    </row>
    <row r="223" ht="121.2" x14ac:dyDescent="0.55000000000000004">
      <c r="A223" s="194" t="s">
        <v>37</v>
      </c>
      <c r="B223" s="194" t="s">
        <v>43</v>
      </c>
      <c r="C223" s="194" t="s">
        <v>44</v>
      </c>
      <c r="D223" s="194" t="s">
        <v>581</v>
      </c>
      <c r="E223" s="194" t="s">
        <v>552</v>
      </c>
      <c r="F223" s="194" t="s">
        <v>553</v>
      </c>
      <c r="G223" s="194" t="s">
        <v>19</v>
      </c>
      <c r="H223" s="194" t="s">
        <v>36</v>
      </c>
      <c r="I223" s="185" t="s">
        <v>554</v>
      </c>
      <c r="J223" s="194" t="s">
        <v>47</v>
      </c>
      <c r="K223" s="186" t="s">
        <v>101</v>
      </c>
      <c r="L223" s="186" t="s">
        <v>555</v>
      </c>
      <c r="M223" s="186" t="s">
        <v>556</v>
      </c>
      <c r="N223" s="186" t="s">
        <v>657</v>
      </c>
      <c r="O223" s="186" t="s">
        <v>557</v>
      </c>
      <c r="P223" s="186" t="s">
        <v>722</v>
      </c>
      <c r="Q223" s="186" t="s">
        <v>700</v>
      </c>
      <c r="R223" s="186" t="s">
        <v>701</v>
      </c>
    </row>
    <row r="224" ht="28.8" x14ac:dyDescent="0.55000000000000004">
      <c r="A224" s="179">
        <v>1</v>
      </c>
      <c r="B224" s="180" t="s">
        <v>255</v>
      </c>
      <c r="C224" s="181" t="s">
        <v>260</v>
      </c>
      <c r="D224" s="182" t="s">
        <v>675</v>
      </c>
      <c r="E224" s="182" t="s">
        <v>208</v>
      </c>
      <c r="F224" s="182" t="s">
        <v>208</v>
      </c>
      <c r="G224" s="187"/>
      <c r="H224" s="183" t="s">
        <v>169</v>
      </c>
      <c r="I224" s="179"/>
      <c r="J224" s="187" t="s">
        <v>558</v>
      </c>
      <c r="K224" s="178"/>
      <c r="M224" s="188" t="s">
        <v>15</v>
      </c>
      <c r="N224" s="188" t="s">
        <v>14</v>
      </c>
      <c r="O224" s="188" t="s">
        <v>15</v>
      </c>
      <c r="P224" s="188" t="s">
        <v>14</v>
      </c>
      <c r="Q224" s="208" t="s">
        <v>15</v>
      </c>
      <c r="R224" s="208" t="s">
        <v>14</v>
      </c>
    </row>
    <row r="225" x14ac:dyDescent="0.55000000000000004">
      <c r="A225" s="179">
        <v>2</v>
      </c>
      <c r="B225" s="180" t="s">
        <v>538</v>
      </c>
      <c r="C225" s="181" t="s">
        <v>260</v>
      </c>
      <c r="D225" s="182" t="s">
        <v>675</v>
      </c>
      <c r="E225" s="182" t="s">
        <v>413</v>
      </c>
      <c r="F225" s="182" t="s">
        <v>413</v>
      </c>
      <c r="G225" s="187"/>
      <c r="H225" s="183" t="s">
        <v>163</v>
      </c>
      <c r="I225" s="179"/>
      <c r="J225" s="187"/>
      <c r="K225" s="178"/>
      <c r="M225" s="188" t="s">
        <v>15</v>
      </c>
      <c r="N225" s="188" t="s">
        <v>14</v>
      </c>
      <c r="O225" s="188" t="s">
        <v>15</v>
      </c>
      <c r="P225" s="188" t="s">
        <v>14</v>
      </c>
      <c r="Q225" s="209" t="s">
        <v>15</v>
      </c>
      <c r="R225" s="209" t="s">
        <v>14</v>
      </c>
    </row>
    <row r="226" ht="28.8" x14ac:dyDescent="0.55000000000000004">
      <c r="A226" s="179">
        <v>3</v>
      </c>
      <c r="B226" s="180" t="s">
        <v>255</v>
      </c>
      <c r="C226" s="181" t="s">
        <v>260</v>
      </c>
      <c r="D226" s="182" t="s">
        <v>675</v>
      </c>
      <c r="E226" s="182" t="s">
        <v>251</v>
      </c>
      <c r="F226" s="182" t="s">
        <v>251</v>
      </c>
      <c r="G226" s="187" t="s">
        <v>671</v>
      </c>
      <c r="H226" s="183" t="s">
        <v>169</v>
      </c>
      <c r="I226" s="179"/>
      <c r="J226" s="187" t="s">
        <v>655</v>
      </c>
      <c r="K226" s="178"/>
      <c r="M226" s="188" t="s">
        <v>15</v>
      </c>
      <c r="N226" s="188" t="s">
        <v>14</v>
      </c>
      <c r="O226" s="188" t="s">
        <v>15</v>
      </c>
      <c r="P226" s="188" t="s">
        <v>14</v>
      </c>
      <c r="Q226" s="208" t="s">
        <v>15</v>
      </c>
      <c r="R226" s="208" t="s">
        <v>14</v>
      </c>
    </row>
    <row r="227" x14ac:dyDescent="0.55000000000000004">
      <c r="A227" s="179">
        <v>4</v>
      </c>
      <c r="B227" s="180" t="s">
        <v>670</v>
      </c>
      <c r="C227" s="181" t="s">
        <v>260</v>
      </c>
      <c r="D227" s="182" t="s">
        <v>675</v>
      </c>
      <c r="E227" s="182" t="s">
        <v>43</v>
      </c>
      <c r="F227" s="182" t="s">
        <v>43</v>
      </c>
      <c r="G227" s="187"/>
      <c r="H227" s="183"/>
      <c r="I227" s="179"/>
      <c r="J227" s="187"/>
      <c r="K227" s="178"/>
      <c r="M227" s="188"/>
      <c r="N227" s="188"/>
      <c r="O227" s="188"/>
      <c r="P227" s="188"/>
      <c r="Q227" s="209"/>
      <c r="R227" s="209"/>
    </row>
    <row r="228" ht="28.8" x14ac:dyDescent="0.55000000000000004">
      <c r="A228" s="179">
        <v>5</v>
      </c>
      <c r="B228" s="180" t="s">
        <v>255</v>
      </c>
      <c r="C228" s="181" t="s">
        <v>251</v>
      </c>
      <c r="D228" s="182" t="s">
        <v>675</v>
      </c>
      <c r="E228" s="182" t="s">
        <v>178</v>
      </c>
      <c r="F228" s="182" t="s">
        <v>178</v>
      </c>
      <c r="G228" s="187" t="s">
        <v>708</v>
      </c>
      <c r="H228" s="183" t="s">
        <v>169</v>
      </c>
      <c r="I228" s="184" t="s">
        <v>709</v>
      </c>
      <c r="J228" s="187" t="s">
        <v>672</v>
      </c>
      <c r="K228" s="178"/>
      <c r="M228" s="188" t="s">
        <v>15</v>
      </c>
      <c r="N228" s="188" t="s">
        <v>14</v>
      </c>
      <c r="O228" s="188" t="s">
        <v>15</v>
      </c>
      <c r="P228" s="188" t="s">
        <v>14</v>
      </c>
      <c r="Q228" s="208" t="s">
        <v>15</v>
      </c>
      <c r="R228" s="208" t="s">
        <v>14</v>
      </c>
    </row>
    <row r="229" ht="43.2" x14ac:dyDescent="0.55000000000000004">
      <c r="A229" s="179">
        <v>6</v>
      </c>
      <c r="B229" s="180" t="s">
        <v>255</v>
      </c>
      <c r="C229" s="181" t="s">
        <v>252</v>
      </c>
      <c r="D229" s="182" t="s">
        <v>675</v>
      </c>
      <c r="E229" s="182" t="s">
        <v>205</v>
      </c>
      <c r="F229" s="182" t="s">
        <v>205</v>
      </c>
      <c r="G229" s="187" t="s">
        <v>714</v>
      </c>
      <c r="H229" s="183" t="s">
        <v>51</v>
      </c>
      <c r="I229" s="184" t="s">
        <v>716</v>
      </c>
      <c r="J229" s="187"/>
      <c r="K229" s="178"/>
      <c r="M229" s="188" t="s">
        <v>14</v>
      </c>
      <c r="N229" s="188" t="s">
        <v>15</v>
      </c>
      <c r="O229" s="188" t="s">
        <v>15</v>
      </c>
      <c r="P229" s="188" t="s">
        <v>14</v>
      </c>
      <c r="Q229" s="209" t="s">
        <v>15</v>
      </c>
      <c r="R229" s="209" t="s">
        <v>14</v>
      </c>
    </row>
    <row r="230" ht="100.8" x14ac:dyDescent="0.55000000000000004">
      <c r="A230" s="179">
        <v>7</v>
      </c>
      <c r="B230" s="180" t="s">
        <v>255</v>
      </c>
      <c r="C230" s="181" t="s">
        <v>252</v>
      </c>
      <c r="D230" s="182" t="s">
        <v>675</v>
      </c>
      <c r="E230" s="182" t="s">
        <v>254</v>
      </c>
      <c r="F230" s="182" t="s">
        <v>407</v>
      </c>
      <c r="G230" s="184" t="s">
        <v>712</v>
      </c>
      <c r="H230" s="183" t="s">
        <v>169</v>
      </c>
      <c r="I230" s="184" t="s">
        <v>715</v>
      </c>
      <c r="J230" s="187" t="s">
        <v>721</v>
      </c>
      <c r="K230" s="178"/>
      <c r="M230" s="188" t="s">
        <v>14</v>
      </c>
      <c r="N230" s="188" t="s">
        <v>15</v>
      </c>
      <c r="O230" s="188" t="s">
        <v>15</v>
      </c>
      <c r="P230" s="188" t="s">
        <v>14</v>
      </c>
      <c r="Q230" s="208" t="s">
        <v>15</v>
      </c>
      <c r="R230" s="208" t="s">
        <v>14</v>
      </c>
    </row>
    <row r="231" ht="72" x14ac:dyDescent="0.55000000000000004">
      <c r="A231" s="179">
        <v>8</v>
      </c>
      <c r="B231" s="180" t="s">
        <v>255</v>
      </c>
      <c r="C231" s="181" t="s">
        <v>260</v>
      </c>
      <c r="D231" s="182" t="s">
        <v>675</v>
      </c>
      <c r="E231" s="182" t="s">
        <v>3</v>
      </c>
      <c r="F231" s="182" t="s">
        <v>537</v>
      </c>
      <c r="G231" s="187" t="s">
        <v>717</v>
      </c>
      <c r="H231" s="183" t="s">
        <v>52</v>
      </c>
      <c r="I231" s="184" t="s">
        <v>718</v>
      </c>
      <c r="J231" s="187" t="s">
        <v>720</v>
      </c>
      <c r="K231" s="178"/>
      <c r="M231" s="188" t="s">
        <v>14</v>
      </c>
      <c r="N231" s="188" t="s">
        <v>15</v>
      </c>
      <c r="O231" s="188" t="s">
        <v>15</v>
      </c>
      <c r="P231" s="188" t="s">
        <v>14</v>
      </c>
      <c r="Q231" s="209" t="s">
        <v>15</v>
      </c>
      <c r="R231" s="209" t="s">
        <v>14</v>
      </c>
    </row>
    <row r="232" s="59" customFormat="1" x14ac:dyDescent="0.55000000000000004">
      <c r="A232" s="179">
        <v>9</v>
      </c>
      <c r="B232" s="180" t="s">
        <v>258</v>
      </c>
      <c r="C232" s="181" t="s">
        <v>260</v>
      </c>
      <c r="D232" s="182" t="s">
        <v>675</v>
      </c>
      <c r="E232" s="182" t="s">
        <v>412</v>
      </c>
      <c r="F232" s="182" t="s">
        <v>412</v>
      </c>
      <c r="G232" s="187"/>
      <c r="H232" s="183" t="s">
        <v>108</v>
      </c>
      <c r="I232" s="179"/>
      <c r="J232" s="187"/>
      <c r="K232" s="178"/>
      <c r="L232" s="62"/>
      <c r="M232" s="188" t="s">
        <v>15</v>
      </c>
      <c r="N232" s="188" t="s">
        <v>15</v>
      </c>
      <c r="O232" s="188" t="s">
        <v>14</v>
      </c>
      <c r="P232" s="188" t="s">
        <v>15</v>
      </c>
      <c r="Q232" s="208" t="s">
        <v>15</v>
      </c>
      <c r="R232" s="208" t="s">
        <v>14</v>
      </c>
      <c r="S232" s="62"/>
      <c r="T232" s="62"/>
      <c r="U232" s="62"/>
      <c r="V232" s="62"/>
      <c r="W232" s="62"/>
      <c r="X232" s="62"/>
      <c r="Y232" s="62"/>
      <c r="Z232" s="62"/>
      <c r="AA232" s="62"/>
    </row>
    <row r="233" ht="28.8" x14ac:dyDescent="0.55000000000000004">
      <c r="A233" s="179">
        <v>10</v>
      </c>
      <c r="B233" s="180" t="s">
        <v>258</v>
      </c>
      <c r="C233" s="181" t="s">
        <v>260</v>
      </c>
      <c r="D233" s="182" t="s">
        <v>673</v>
      </c>
      <c r="E233" s="182" t="s">
        <v>263</v>
      </c>
      <c r="F233" s="182" t="s">
        <v>263</v>
      </c>
      <c r="G233" s="187" t="s">
        <v>724</v>
      </c>
      <c r="H233" s="183" t="s">
        <v>51</v>
      </c>
      <c r="I233" s="179"/>
      <c r="J233" s="187" t="s">
        <v>723</v>
      </c>
      <c r="K233" s="178"/>
      <c r="M233" s="188" t="s">
        <v>15</v>
      </c>
      <c r="N233" s="188" t="s">
        <v>15</v>
      </c>
      <c r="O233" s="188" t="s">
        <v>14</v>
      </c>
      <c r="P233" s="188" t="s">
        <v>15</v>
      </c>
      <c r="Q233" s="209" t="s">
        <v>15</v>
      </c>
      <c r="R233" s="209" t="s">
        <v>14</v>
      </c>
    </row>
    <row r="234" x14ac:dyDescent="0.55000000000000004">
      <c r="A234" s="179">
        <v>11</v>
      </c>
      <c r="B234" s="180" t="s">
        <v>258</v>
      </c>
      <c r="C234" s="181" t="s">
        <v>260</v>
      </c>
      <c r="D234" s="182" t="s">
        <v>673</v>
      </c>
      <c r="E234" s="182" t="s">
        <v>429</v>
      </c>
      <c r="F234" s="182" t="s">
        <v>429</v>
      </c>
      <c r="G234" s="187" t="s">
        <v>19</v>
      </c>
      <c r="H234" s="183" t="s">
        <v>51</v>
      </c>
      <c r="I234" s="179"/>
      <c r="J234" s="187"/>
      <c r="K234" s="178"/>
      <c r="M234" s="188" t="s">
        <v>15</v>
      </c>
      <c r="N234" s="188" t="s">
        <v>15</v>
      </c>
      <c r="O234" s="188" t="s">
        <v>14</v>
      </c>
      <c r="P234" s="188" t="s">
        <v>15</v>
      </c>
      <c r="Q234" s="208" t="s">
        <v>15</v>
      </c>
      <c r="R234" s="208" t="s">
        <v>14</v>
      </c>
    </row>
    <row r="235" x14ac:dyDescent="0.55000000000000004">
      <c r="A235" s="179">
        <v>12</v>
      </c>
      <c r="B235" s="180" t="s">
        <v>258</v>
      </c>
      <c r="C235" s="181" t="s">
        <v>260</v>
      </c>
      <c r="D235" s="182" t="s">
        <v>673</v>
      </c>
      <c r="E235" s="182" t="s">
        <v>415</v>
      </c>
      <c r="F235" s="182" t="s">
        <v>415</v>
      </c>
      <c r="G235" s="187" t="s">
        <v>725</v>
      </c>
      <c r="H235" s="183" t="s">
        <v>52</v>
      </c>
      <c r="I235" s="179"/>
      <c r="J235" s="187"/>
      <c r="K235" s="178"/>
      <c r="M235" s="188" t="s">
        <v>15</v>
      </c>
      <c r="N235" s="188" t="s">
        <v>15</v>
      </c>
      <c r="O235" s="188" t="s">
        <v>14</v>
      </c>
      <c r="P235" s="188" t="s">
        <v>15</v>
      </c>
      <c r="Q235" s="208" t="s">
        <v>15</v>
      </c>
      <c r="R235" s="208" t="s">
        <v>14</v>
      </c>
    </row>
    <row r="236" ht="43.2" x14ac:dyDescent="0.55000000000000004">
      <c r="A236" s="179">
        <v>13</v>
      </c>
      <c r="B236" s="180" t="s">
        <v>258</v>
      </c>
      <c r="C236" s="181" t="s">
        <v>260</v>
      </c>
      <c r="D236" s="182" t="s">
        <v>673</v>
      </c>
      <c r="E236" s="182" t="s">
        <v>265</v>
      </c>
      <c r="F236" s="182" t="s">
        <v>265</v>
      </c>
      <c r="G236" s="187" t="s">
        <v>726</v>
      </c>
      <c r="H236" s="183" t="s">
        <v>51</v>
      </c>
      <c r="I236" s="179"/>
      <c r="J236" s="187"/>
      <c r="K236" s="178"/>
      <c r="M236" s="188" t="s">
        <v>15</v>
      </c>
      <c r="N236" s="188" t="s">
        <v>15</v>
      </c>
      <c r="O236" s="188" t="s">
        <v>14</v>
      </c>
      <c r="P236" s="188" t="s">
        <v>15</v>
      </c>
      <c r="Q236" s="208" t="s">
        <v>15</v>
      </c>
      <c r="R236" s="208" t="s">
        <v>14</v>
      </c>
    </row>
    <row r="237" x14ac:dyDescent="0.55000000000000004">
      <c r="A237" s="179">
        <v>11</v>
      </c>
      <c r="B237" s="180" t="s">
        <v>255</v>
      </c>
      <c r="C237" s="181" t="s">
        <v>364</v>
      </c>
      <c r="D237" s="182" t="s">
        <v>631</v>
      </c>
      <c r="E237" s="182" t="s">
        <v>453</v>
      </c>
      <c r="F237" s="182" t="s">
        <v>453</v>
      </c>
      <c r="G237" s="187"/>
      <c r="H237" s="183" t="s">
        <v>169</v>
      </c>
      <c r="I237" s="179"/>
      <c r="J237" s="187" t="s">
        <v>659</v>
      </c>
      <c r="K237" s="178"/>
      <c r="M237" s="188" t="s">
        <v>15</v>
      </c>
      <c r="N237" s="188" t="s">
        <v>15</v>
      </c>
      <c r="O237" s="188" t="s">
        <v>15</v>
      </c>
      <c r="P237" s="188" t="s">
        <v>15</v>
      </c>
      <c r="Q237" s="208" t="s">
        <v>15</v>
      </c>
      <c r="R237" s="208" t="s">
        <v>14</v>
      </c>
    </row>
    <row r="238" x14ac:dyDescent="0.55000000000000004">
      <c r="A238" s="179">
        <v>12</v>
      </c>
      <c r="B238" s="180" t="s">
        <v>538</v>
      </c>
      <c r="C238" s="181" t="s">
        <v>364</v>
      </c>
      <c r="D238" s="182" t="s">
        <v>454</v>
      </c>
      <c r="E238" s="182" t="s">
        <v>454</v>
      </c>
      <c r="F238" s="182" t="s">
        <v>454</v>
      </c>
      <c r="G238" s="187"/>
      <c r="H238" s="183" t="s">
        <v>169</v>
      </c>
      <c r="I238" s="179"/>
      <c r="J238" s="187" t="s">
        <v>659</v>
      </c>
      <c r="K238" s="178"/>
      <c r="M238" s="188" t="s">
        <v>15</v>
      </c>
      <c r="N238" s="188" t="s">
        <v>15</v>
      </c>
      <c r="O238" s="188" t="s">
        <v>15</v>
      </c>
      <c r="P238" s="188" t="s">
        <v>15</v>
      </c>
      <c r="Q238" s="208" t="s">
        <v>15</v>
      </c>
      <c r="R238" s="208" t="s">
        <v>14</v>
      </c>
    </row>
    <row r="239" x14ac:dyDescent="0.55000000000000004">
      <c r="B239" s="13"/>
      <c r="C239" s="63"/>
      <c r="G239" s="99"/>
      <c r="H239" s="64"/>
      <c r="I239" s="64"/>
      <c r="J239" s="64"/>
      <c r="K239" s="13"/>
    </row>
    <row r="240" ht="27" x14ac:dyDescent="0.55000000000000004">
      <c r="A240" s="66" t="s">
        <v>365</v>
      </c>
      <c r="B240" s="58"/>
      <c r="C240" s="59"/>
      <c r="D240" s="59"/>
      <c r="E240" s="28"/>
      <c r="F240" s="59"/>
      <c r="G240" s="59"/>
      <c r="H240" s="59"/>
      <c r="I240" s="59"/>
      <c r="J240" s="59"/>
      <c r="K240" s="59"/>
      <c r="AA240" s="256" t="inlineStr">
        <is>
          <t xml:space="preserve">21-Oct: Keep (functional approval). Missing: Operations, Maintenance + level approvals (TM / Regional / Global).</t>
        </is>
      </c>
    </row>
    <row r="241" ht="121.2" x14ac:dyDescent="0.55000000000000004">
      <c r="A241" s="194" t="s">
        <v>37</v>
      </c>
      <c r="B241" s="194" t="s">
        <v>43</v>
      </c>
      <c r="C241" s="194" t="s">
        <v>44</v>
      </c>
      <c r="D241" s="194" t="s">
        <v>581</v>
      </c>
      <c r="E241" s="194" t="s">
        <v>552</v>
      </c>
      <c r="F241" s="194" t="s">
        <v>553</v>
      </c>
      <c r="G241" s="194" t="s">
        <v>19</v>
      </c>
      <c r="H241" s="194" t="s">
        <v>36</v>
      </c>
      <c r="I241" s="185" t="s">
        <v>554</v>
      </c>
      <c r="J241" s="194" t="s">
        <v>47</v>
      </c>
      <c r="K241" s="186" t="s">
        <v>101</v>
      </c>
      <c r="L241" s="186" t="s">
        <v>555</v>
      </c>
      <c r="M241" s="186" t="s">
        <v>556</v>
      </c>
      <c r="N241" s="186" t="s">
        <v>657</v>
      </c>
      <c r="O241" s="186" t="s">
        <v>557</v>
      </c>
      <c r="P241" s="186" t="s">
        <v>722</v>
      </c>
      <c r="Q241" s="186" t="s">
        <v>700</v>
      </c>
      <c r="R241" s="186" t="s">
        <v>701</v>
      </c>
    </row>
    <row r="242" ht="28.8" x14ac:dyDescent="0.55000000000000004">
      <c r="A242" s="179">
        <v>1</v>
      </c>
      <c r="B242" s="180" t="s">
        <v>255</v>
      </c>
      <c r="C242" s="181" t="s">
        <v>260</v>
      </c>
      <c r="D242" s="182" t="s">
        <v>676</v>
      </c>
      <c r="E242" s="182" t="s">
        <v>208</v>
      </c>
      <c r="F242" s="182" t="s">
        <v>208</v>
      </c>
      <c r="G242" s="187"/>
      <c r="H242" s="183" t="s">
        <v>169</v>
      </c>
      <c r="I242" s="179"/>
      <c r="J242" s="187" t="s">
        <v>558</v>
      </c>
      <c r="K242" s="178"/>
      <c r="M242" s="188" t="s">
        <v>15</v>
      </c>
      <c r="N242" s="188" t="s">
        <v>14</v>
      </c>
      <c r="O242" s="188" t="s">
        <v>15</v>
      </c>
      <c r="P242" s="188" t="s">
        <v>14</v>
      </c>
      <c r="Q242" s="208" t="s">
        <v>15</v>
      </c>
      <c r="R242" s="208" t="s">
        <v>14</v>
      </c>
    </row>
    <row r="243" x14ac:dyDescent="0.55000000000000004">
      <c r="A243" s="179">
        <v>2</v>
      </c>
      <c r="B243" s="180" t="s">
        <v>538</v>
      </c>
      <c r="C243" s="181" t="s">
        <v>260</v>
      </c>
      <c r="D243" s="182" t="s">
        <v>676</v>
      </c>
      <c r="E243" s="182" t="s">
        <v>413</v>
      </c>
      <c r="F243" s="182" t="s">
        <v>413</v>
      </c>
      <c r="G243" s="187"/>
      <c r="H243" s="183" t="s">
        <v>163</v>
      </c>
      <c r="I243" s="179"/>
      <c r="J243" s="187"/>
      <c r="K243" s="178"/>
      <c r="M243" s="188" t="s">
        <v>15</v>
      </c>
      <c r="N243" s="188" t="s">
        <v>14</v>
      </c>
      <c r="O243" s="188" t="s">
        <v>15</v>
      </c>
      <c r="P243" s="188" t="s">
        <v>14</v>
      </c>
      <c r="Q243" s="209" t="s">
        <v>15</v>
      </c>
      <c r="R243" s="209" t="s">
        <v>14</v>
      </c>
    </row>
    <row r="244" ht="28.8" x14ac:dyDescent="0.55000000000000004">
      <c r="A244" s="179">
        <v>3</v>
      </c>
      <c r="B244" s="180" t="s">
        <v>255</v>
      </c>
      <c r="C244" s="181" t="s">
        <v>260</v>
      </c>
      <c r="D244" s="182" t="s">
        <v>676</v>
      </c>
      <c r="E244" s="182" t="s">
        <v>251</v>
      </c>
      <c r="F244" s="182" t="s">
        <v>251</v>
      </c>
      <c r="G244" s="187" t="s">
        <v>671</v>
      </c>
      <c r="H244" s="183" t="s">
        <v>169</v>
      </c>
      <c r="I244" s="179"/>
      <c r="J244" s="187" t="s">
        <v>655</v>
      </c>
      <c r="K244" s="178"/>
      <c r="M244" s="188" t="s">
        <v>15</v>
      </c>
      <c r="N244" s="188" t="s">
        <v>14</v>
      </c>
      <c r="O244" s="188" t="s">
        <v>15</v>
      </c>
      <c r="P244" s="188" t="s">
        <v>14</v>
      </c>
      <c r="Q244" s="208" t="s">
        <v>15</v>
      </c>
      <c r="R244" s="208" t="s">
        <v>14</v>
      </c>
    </row>
    <row r="245" x14ac:dyDescent="0.55000000000000004">
      <c r="A245" s="179">
        <v>4</v>
      </c>
      <c r="B245" s="180" t="s">
        <v>670</v>
      </c>
      <c r="C245" s="181" t="s">
        <v>260</v>
      </c>
      <c r="D245" s="182" t="s">
        <v>676</v>
      </c>
      <c r="E245" s="182" t="s">
        <v>43</v>
      </c>
      <c r="F245" s="182" t="s">
        <v>43</v>
      </c>
      <c r="G245" s="187"/>
      <c r="H245" s="183"/>
      <c r="I245" s="179"/>
      <c r="J245" s="187"/>
      <c r="K245" s="178"/>
      <c r="M245" s="188"/>
      <c r="N245" s="188"/>
      <c r="O245" s="188"/>
      <c r="P245" s="188"/>
      <c r="Q245" s="209"/>
      <c r="R245" s="209"/>
    </row>
    <row r="246" ht="28.8" x14ac:dyDescent="0.55000000000000004">
      <c r="A246" s="179">
        <v>5</v>
      </c>
      <c r="B246" s="180" t="s">
        <v>255</v>
      </c>
      <c r="C246" s="181" t="s">
        <v>251</v>
      </c>
      <c r="D246" s="182" t="s">
        <v>676</v>
      </c>
      <c r="E246" s="182" t="s">
        <v>178</v>
      </c>
      <c r="F246" s="182" t="s">
        <v>178</v>
      </c>
      <c r="G246" s="187" t="s">
        <v>708</v>
      </c>
      <c r="H246" s="183" t="s">
        <v>169</v>
      </c>
      <c r="I246" s="184" t="s">
        <v>709</v>
      </c>
      <c r="J246" s="187" t="s">
        <v>672</v>
      </c>
      <c r="K246" s="178"/>
      <c r="M246" s="188" t="s">
        <v>15</v>
      </c>
      <c r="N246" s="188" t="s">
        <v>14</v>
      </c>
      <c r="O246" s="188" t="s">
        <v>15</v>
      </c>
      <c r="P246" s="188" t="s">
        <v>14</v>
      </c>
      <c r="Q246" s="208" t="s">
        <v>15</v>
      </c>
      <c r="R246" s="208" t="s">
        <v>14</v>
      </c>
    </row>
    <row r="247" ht="43.2" x14ac:dyDescent="0.55000000000000004">
      <c r="A247" s="179">
        <v>6</v>
      </c>
      <c r="B247" s="180" t="s">
        <v>255</v>
      </c>
      <c r="C247" s="181" t="s">
        <v>252</v>
      </c>
      <c r="D247" s="182" t="s">
        <v>676</v>
      </c>
      <c r="E247" s="182" t="s">
        <v>205</v>
      </c>
      <c r="F247" s="182" t="s">
        <v>205</v>
      </c>
      <c r="G247" s="187" t="s">
        <v>714</v>
      </c>
      <c r="H247" s="183" t="s">
        <v>51</v>
      </c>
      <c r="I247" s="184" t="s">
        <v>716</v>
      </c>
      <c r="J247" s="187"/>
      <c r="K247" s="178"/>
      <c r="M247" s="188" t="s">
        <v>14</v>
      </c>
      <c r="N247" s="188" t="s">
        <v>15</v>
      </c>
      <c r="O247" s="188" t="s">
        <v>15</v>
      </c>
      <c r="P247" s="188" t="s">
        <v>14</v>
      </c>
      <c r="Q247" s="209" t="s">
        <v>15</v>
      </c>
      <c r="R247" s="209" t="s">
        <v>14</v>
      </c>
    </row>
    <row r="248" ht="100.8" x14ac:dyDescent="0.55000000000000004">
      <c r="A248" s="179">
        <v>7</v>
      </c>
      <c r="B248" s="180" t="s">
        <v>255</v>
      </c>
      <c r="C248" s="181" t="s">
        <v>252</v>
      </c>
      <c r="D248" s="182" t="s">
        <v>676</v>
      </c>
      <c r="E248" s="182" t="s">
        <v>254</v>
      </c>
      <c r="F248" s="182" t="s">
        <v>407</v>
      </c>
      <c r="G248" s="184" t="s">
        <v>712</v>
      </c>
      <c r="H248" s="183" t="s">
        <v>169</v>
      </c>
      <c r="I248" s="184" t="s">
        <v>715</v>
      </c>
      <c r="J248" s="187" t="s">
        <v>721</v>
      </c>
      <c r="K248" s="178"/>
      <c r="M248" s="188" t="s">
        <v>14</v>
      </c>
      <c r="N248" s="188" t="s">
        <v>15</v>
      </c>
      <c r="O248" s="188" t="s">
        <v>15</v>
      </c>
      <c r="P248" s="188" t="s">
        <v>14</v>
      </c>
      <c r="Q248" s="208" t="s">
        <v>15</v>
      </c>
      <c r="R248" s="208" t="s">
        <v>14</v>
      </c>
    </row>
    <row r="249" ht="72" x14ac:dyDescent="0.55000000000000004">
      <c r="A249" s="179">
        <v>8</v>
      </c>
      <c r="B249" s="180" t="s">
        <v>255</v>
      </c>
      <c r="C249" s="181" t="s">
        <v>260</v>
      </c>
      <c r="D249" s="182" t="s">
        <v>676</v>
      </c>
      <c r="E249" s="182" t="s">
        <v>3</v>
      </c>
      <c r="F249" s="182" t="s">
        <v>537</v>
      </c>
      <c r="G249" s="187" t="s">
        <v>717</v>
      </c>
      <c r="H249" s="183" t="s">
        <v>52</v>
      </c>
      <c r="I249" s="184" t="s">
        <v>718</v>
      </c>
      <c r="J249" s="187" t="s">
        <v>720</v>
      </c>
      <c r="K249" s="178"/>
      <c r="M249" s="188" t="s">
        <v>14</v>
      </c>
      <c r="N249" s="188" t="s">
        <v>15</v>
      </c>
      <c r="O249" s="188" t="s">
        <v>15</v>
      </c>
      <c r="P249" s="188" t="s">
        <v>14</v>
      </c>
      <c r="Q249" s="209" t="s">
        <v>15</v>
      </c>
      <c r="R249" s="209" t="s">
        <v>14</v>
      </c>
    </row>
    <row r="250" s="59" customFormat="1" x14ac:dyDescent="0.55000000000000004">
      <c r="A250" s="179">
        <v>9</v>
      </c>
      <c r="B250" s="180" t="s">
        <v>258</v>
      </c>
      <c r="C250" s="181" t="s">
        <v>260</v>
      </c>
      <c r="D250" s="182" t="s">
        <v>676</v>
      </c>
      <c r="E250" s="182" t="s">
        <v>412</v>
      </c>
      <c r="F250" s="182" t="s">
        <v>412</v>
      </c>
      <c r="G250" s="187"/>
      <c r="H250" s="183" t="s">
        <v>108</v>
      </c>
      <c r="I250" s="179"/>
      <c r="J250" s="187"/>
      <c r="K250" s="178"/>
      <c r="L250" s="62"/>
      <c r="M250" s="188" t="s">
        <v>15</v>
      </c>
      <c r="N250" s="188" t="s">
        <v>15</v>
      </c>
      <c r="O250" s="188" t="s">
        <v>14</v>
      </c>
      <c r="P250" s="188" t="s">
        <v>15</v>
      </c>
      <c r="Q250" s="208" t="s">
        <v>15</v>
      </c>
      <c r="R250" s="208" t="s">
        <v>14</v>
      </c>
      <c r="S250" s="62"/>
      <c r="T250" s="62"/>
      <c r="U250" s="62"/>
      <c r="V250" s="62"/>
      <c r="W250" s="62"/>
      <c r="X250" s="62"/>
      <c r="Y250" s="62"/>
      <c r="Z250" s="62"/>
      <c r="AA250" s="62"/>
    </row>
    <row r="251" ht="28.8" x14ac:dyDescent="0.55000000000000004">
      <c r="A251" s="179">
        <v>10</v>
      </c>
      <c r="B251" s="180" t="s">
        <v>258</v>
      </c>
      <c r="C251" s="181" t="s">
        <v>260</v>
      </c>
      <c r="D251" s="182" t="s">
        <v>673</v>
      </c>
      <c r="E251" s="182" t="s">
        <v>263</v>
      </c>
      <c r="F251" s="182" t="s">
        <v>263</v>
      </c>
      <c r="G251" s="187" t="s">
        <v>724</v>
      </c>
      <c r="H251" s="183" t="s">
        <v>51</v>
      </c>
      <c r="I251" s="179"/>
      <c r="J251" s="187" t="s">
        <v>723</v>
      </c>
      <c r="K251" s="178"/>
      <c r="M251" s="188" t="s">
        <v>15</v>
      </c>
      <c r="N251" s="188" t="s">
        <v>15</v>
      </c>
      <c r="O251" s="188" t="s">
        <v>14</v>
      </c>
      <c r="P251" s="188" t="s">
        <v>15</v>
      </c>
      <c r="Q251" s="209" t="s">
        <v>15</v>
      </c>
      <c r="R251" s="209" t="s">
        <v>14</v>
      </c>
    </row>
    <row r="252" x14ac:dyDescent="0.55000000000000004">
      <c r="A252" s="179">
        <v>11</v>
      </c>
      <c r="B252" s="180" t="s">
        <v>258</v>
      </c>
      <c r="C252" s="181" t="s">
        <v>260</v>
      </c>
      <c r="D252" s="182" t="s">
        <v>673</v>
      </c>
      <c r="E252" s="182" t="s">
        <v>429</v>
      </c>
      <c r="F252" s="182" t="s">
        <v>429</v>
      </c>
      <c r="G252" s="187" t="s">
        <v>19</v>
      </c>
      <c r="H252" s="183" t="s">
        <v>51</v>
      </c>
      <c r="I252" s="179"/>
      <c r="J252" s="187"/>
      <c r="K252" s="178"/>
      <c r="M252" s="188" t="s">
        <v>15</v>
      </c>
      <c r="N252" s="188" t="s">
        <v>15</v>
      </c>
      <c r="O252" s="188" t="s">
        <v>14</v>
      </c>
      <c r="P252" s="188" t="s">
        <v>15</v>
      </c>
      <c r="Q252" s="208" t="s">
        <v>15</v>
      </c>
      <c r="R252" s="208" t="s">
        <v>14</v>
      </c>
    </row>
    <row r="253" x14ac:dyDescent="0.55000000000000004">
      <c r="A253" s="179">
        <v>12</v>
      </c>
      <c r="B253" s="180" t="s">
        <v>258</v>
      </c>
      <c r="C253" s="181" t="s">
        <v>260</v>
      </c>
      <c r="D253" s="182" t="s">
        <v>673</v>
      </c>
      <c r="E253" s="182" t="s">
        <v>415</v>
      </c>
      <c r="F253" s="182" t="s">
        <v>415</v>
      </c>
      <c r="G253" s="187" t="s">
        <v>725</v>
      </c>
      <c r="H253" s="183" t="s">
        <v>52</v>
      </c>
      <c r="I253" s="179"/>
      <c r="J253" s="187"/>
      <c r="K253" s="178"/>
      <c r="M253" s="188" t="s">
        <v>15</v>
      </c>
      <c r="N253" s="188" t="s">
        <v>15</v>
      </c>
      <c r="O253" s="188" t="s">
        <v>14</v>
      </c>
      <c r="P253" s="188" t="s">
        <v>15</v>
      </c>
      <c r="Q253" s="208" t="s">
        <v>15</v>
      </c>
      <c r="R253" s="208" t="s">
        <v>14</v>
      </c>
    </row>
    <row r="254" ht="43.2" x14ac:dyDescent="0.55000000000000004">
      <c r="A254" s="179">
        <v>13</v>
      </c>
      <c r="B254" s="180" t="s">
        <v>258</v>
      </c>
      <c r="C254" s="181" t="s">
        <v>260</v>
      </c>
      <c r="D254" s="182" t="s">
        <v>673</v>
      </c>
      <c r="E254" s="182" t="s">
        <v>265</v>
      </c>
      <c r="F254" s="182" t="s">
        <v>265</v>
      </c>
      <c r="G254" s="187" t="s">
        <v>726</v>
      </c>
      <c r="H254" s="183" t="s">
        <v>51</v>
      </c>
      <c r="I254" s="179"/>
      <c r="J254" s="187"/>
      <c r="K254" s="178"/>
      <c r="M254" s="188" t="s">
        <v>15</v>
      </c>
      <c r="N254" s="188" t="s">
        <v>15</v>
      </c>
      <c r="O254" s="188" t="s">
        <v>14</v>
      </c>
      <c r="P254" s="188" t="s">
        <v>15</v>
      </c>
      <c r="Q254" s="208" t="s">
        <v>15</v>
      </c>
      <c r="R254" s="208" t="s">
        <v>14</v>
      </c>
    </row>
    <row r="255" x14ac:dyDescent="0.55000000000000004">
      <c r="A255" s="179">
        <v>11</v>
      </c>
      <c r="B255" s="180" t="s">
        <v>727</v>
      </c>
      <c r="C255" s="181" t="s">
        <v>365</v>
      </c>
      <c r="D255" s="182" t="s">
        <v>631</v>
      </c>
      <c r="E255" s="182" t="s">
        <v>453</v>
      </c>
      <c r="F255" s="182" t="s">
        <v>453</v>
      </c>
      <c r="G255" s="187"/>
      <c r="H255" s="183" t="s">
        <v>169</v>
      </c>
      <c r="I255" s="179"/>
      <c r="J255" s="187" t="s">
        <v>659</v>
      </c>
      <c r="K255" s="178"/>
      <c r="M255" s="188" t="s">
        <v>15</v>
      </c>
      <c r="N255" s="188" t="s">
        <v>15</v>
      </c>
      <c r="O255" s="188" t="s">
        <v>15</v>
      </c>
      <c r="P255" s="188" t="s">
        <v>15</v>
      </c>
      <c r="Q255" s="208" t="s">
        <v>15</v>
      </c>
      <c r="R255" s="208" t="s">
        <v>14</v>
      </c>
    </row>
    <row r="256" x14ac:dyDescent="0.55000000000000004">
      <c r="A256" s="179">
        <v>12</v>
      </c>
      <c r="B256" s="180" t="s">
        <v>538</v>
      </c>
      <c r="C256" s="181" t="s">
        <v>365</v>
      </c>
      <c r="D256" s="182" t="s">
        <v>454</v>
      </c>
      <c r="E256" s="182" t="s">
        <v>454</v>
      </c>
      <c r="F256" s="182" t="s">
        <v>454</v>
      </c>
      <c r="G256" s="187"/>
      <c r="H256" s="183" t="s">
        <v>169</v>
      </c>
      <c r="I256" s="179"/>
      <c r="J256" s="187" t="s">
        <v>659</v>
      </c>
      <c r="K256" s="178"/>
      <c r="M256" s="188" t="s">
        <v>15</v>
      </c>
      <c r="N256" s="188" t="s">
        <v>15</v>
      </c>
      <c r="O256" s="188" t="s">
        <v>15</v>
      </c>
      <c r="P256" s="188" t="s">
        <v>15</v>
      </c>
      <c r="Q256" s="208" t="s">
        <v>15</v>
      </c>
      <c r="R256" s="208" t="s">
        <v>14</v>
      </c>
    </row>
    <row r="257" x14ac:dyDescent="0.55000000000000004">
      <c r="B257" s="13"/>
      <c r="C257" s="63"/>
      <c r="G257" s="99"/>
      <c r="H257" s="64"/>
      <c r="I257" s="64"/>
      <c r="J257" s="64"/>
      <c r="K257" s="13"/>
    </row>
    <row r="258" ht="27" x14ac:dyDescent="0.55000000000000004">
      <c r="A258" s="66" t="s">
        <v>366</v>
      </c>
      <c r="B258" s="58"/>
      <c r="C258" s="59"/>
      <c r="D258" s="59"/>
      <c r="E258" s="28"/>
      <c r="F258" s="59"/>
      <c r="G258" s="59"/>
      <c r="H258" s="59"/>
      <c r="I258" s="59"/>
      <c r="J258" s="59"/>
      <c r="K258" s="59"/>
      <c r="AA258" s="256" t="inlineStr">
        <is>
          <t xml:space="preserve">21-Oct: [TBC] re-use for a missing type - Intelex to propose. Missing: Operations, Maintenance + level approvals (TM / Regional / Global).</t>
        </is>
      </c>
    </row>
    <row r="259" ht="121.2" x14ac:dyDescent="0.55000000000000004">
      <c r="A259" s="194" t="s">
        <v>37</v>
      </c>
      <c r="B259" s="194" t="s">
        <v>43</v>
      </c>
      <c r="C259" s="194" t="s">
        <v>44</v>
      </c>
      <c r="D259" s="194" t="s">
        <v>581</v>
      </c>
      <c r="E259" s="194" t="s">
        <v>552</v>
      </c>
      <c r="F259" s="194" t="s">
        <v>553</v>
      </c>
      <c r="G259" s="194" t="s">
        <v>19</v>
      </c>
      <c r="H259" s="194" t="s">
        <v>36</v>
      </c>
      <c r="I259" s="185" t="s">
        <v>554</v>
      </c>
      <c r="J259" s="194" t="s">
        <v>47</v>
      </c>
      <c r="K259" s="186" t="s">
        <v>101</v>
      </c>
      <c r="L259" s="186" t="s">
        <v>555</v>
      </c>
      <c r="M259" s="186" t="s">
        <v>556</v>
      </c>
      <c r="N259" s="186" t="s">
        <v>657</v>
      </c>
      <c r="O259" s="186" t="s">
        <v>557</v>
      </c>
      <c r="P259" s="186" t="s">
        <v>722</v>
      </c>
      <c r="Q259" s="186" t="s">
        <v>700</v>
      </c>
      <c r="R259" s="186" t="s">
        <v>701</v>
      </c>
    </row>
    <row r="260" ht="28.8" x14ac:dyDescent="0.55000000000000004">
      <c r="A260" s="179">
        <v>1</v>
      </c>
      <c r="B260" s="180" t="s">
        <v>255</v>
      </c>
      <c r="C260" s="181" t="s">
        <v>260</v>
      </c>
      <c r="D260" s="182" t="s">
        <v>677</v>
      </c>
      <c r="E260" s="182" t="s">
        <v>208</v>
      </c>
      <c r="F260" s="182" t="s">
        <v>208</v>
      </c>
      <c r="G260" s="187"/>
      <c r="H260" s="183" t="s">
        <v>169</v>
      </c>
      <c r="I260" s="179"/>
      <c r="J260" s="187" t="s">
        <v>558</v>
      </c>
      <c r="K260" s="178"/>
      <c r="M260" s="188" t="s">
        <v>15</v>
      </c>
      <c r="N260" s="188" t="s">
        <v>14</v>
      </c>
      <c r="O260" s="188" t="s">
        <v>15</v>
      </c>
      <c r="P260" s="188" t="s">
        <v>14</v>
      </c>
      <c r="Q260" s="208" t="s">
        <v>15</v>
      </c>
      <c r="R260" s="208" t="s">
        <v>14</v>
      </c>
    </row>
    <row r="261" x14ac:dyDescent="0.55000000000000004">
      <c r="A261" s="179">
        <v>2</v>
      </c>
      <c r="B261" s="180" t="s">
        <v>538</v>
      </c>
      <c r="C261" s="181" t="s">
        <v>260</v>
      </c>
      <c r="D261" s="182" t="s">
        <v>677</v>
      </c>
      <c r="E261" s="182" t="s">
        <v>413</v>
      </c>
      <c r="F261" s="182" t="s">
        <v>413</v>
      </c>
      <c r="G261" s="187"/>
      <c r="H261" s="183" t="s">
        <v>163</v>
      </c>
      <c r="I261" s="179"/>
      <c r="J261" s="187"/>
      <c r="K261" s="178"/>
      <c r="M261" s="188" t="s">
        <v>15</v>
      </c>
      <c r="N261" s="188" t="s">
        <v>14</v>
      </c>
      <c r="O261" s="188" t="s">
        <v>15</v>
      </c>
      <c r="P261" s="188" t="s">
        <v>14</v>
      </c>
      <c r="Q261" s="209" t="s">
        <v>15</v>
      </c>
      <c r="R261" s="209" t="s">
        <v>14</v>
      </c>
    </row>
    <row r="262" ht="28.8" x14ac:dyDescent="0.55000000000000004">
      <c r="A262" s="179">
        <v>3</v>
      </c>
      <c r="B262" s="180" t="s">
        <v>255</v>
      </c>
      <c r="C262" s="181" t="s">
        <v>260</v>
      </c>
      <c r="D262" s="182" t="s">
        <v>677</v>
      </c>
      <c r="E262" s="182" t="s">
        <v>251</v>
      </c>
      <c r="F262" s="182" t="s">
        <v>251</v>
      </c>
      <c r="G262" s="187" t="s">
        <v>671</v>
      </c>
      <c r="H262" s="183" t="s">
        <v>169</v>
      </c>
      <c r="I262" s="179"/>
      <c r="J262" s="187" t="s">
        <v>655</v>
      </c>
      <c r="K262" s="178"/>
      <c r="M262" s="188" t="s">
        <v>15</v>
      </c>
      <c r="N262" s="188" t="s">
        <v>14</v>
      </c>
      <c r="O262" s="188" t="s">
        <v>15</v>
      </c>
      <c r="P262" s="188" t="s">
        <v>14</v>
      </c>
      <c r="Q262" s="208" t="s">
        <v>15</v>
      </c>
      <c r="R262" s="208" t="s">
        <v>14</v>
      </c>
    </row>
    <row r="263" x14ac:dyDescent="0.55000000000000004">
      <c r="A263" s="179">
        <v>4</v>
      </c>
      <c r="B263" s="180" t="s">
        <v>670</v>
      </c>
      <c r="C263" s="181" t="s">
        <v>260</v>
      </c>
      <c r="D263" s="182" t="s">
        <v>677</v>
      </c>
      <c r="E263" s="182" t="s">
        <v>43</v>
      </c>
      <c r="F263" s="182" t="s">
        <v>43</v>
      </c>
      <c r="G263" s="187"/>
      <c r="H263" s="183"/>
      <c r="I263" s="179"/>
      <c r="J263" s="187"/>
      <c r="K263" s="178"/>
      <c r="M263" s="188"/>
      <c r="N263" s="188"/>
      <c r="O263" s="188"/>
      <c r="P263" s="188"/>
      <c r="Q263" s="209"/>
      <c r="R263" s="209"/>
    </row>
    <row r="264" ht="28.8" x14ac:dyDescent="0.55000000000000004">
      <c r="A264" s="179">
        <v>5</v>
      </c>
      <c r="B264" s="180" t="s">
        <v>255</v>
      </c>
      <c r="C264" s="181" t="s">
        <v>251</v>
      </c>
      <c r="D264" s="182" t="s">
        <v>677</v>
      </c>
      <c r="E264" s="182" t="s">
        <v>178</v>
      </c>
      <c r="F264" s="182" t="s">
        <v>178</v>
      </c>
      <c r="G264" s="187" t="s">
        <v>708</v>
      </c>
      <c r="H264" s="183" t="s">
        <v>169</v>
      </c>
      <c r="I264" s="184" t="s">
        <v>709</v>
      </c>
      <c r="J264" s="187" t="s">
        <v>672</v>
      </c>
      <c r="K264" s="178"/>
      <c r="M264" s="188" t="s">
        <v>15</v>
      </c>
      <c r="N264" s="188" t="s">
        <v>14</v>
      </c>
      <c r="O264" s="188" t="s">
        <v>15</v>
      </c>
      <c r="P264" s="188" t="s">
        <v>14</v>
      </c>
      <c r="Q264" s="208" t="s">
        <v>15</v>
      </c>
      <c r="R264" s="208" t="s">
        <v>14</v>
      </c>
    </row>
    <row r="265" ht="43.2" x14ac:dyDescent="0.55000000000000004">
      <c r="A265" s="179">
        <v>6</v>
      </c>
      <c r="B265" s="180" t="s">
        <v>255</v>
      </c>
      <c r="C265" s="181" t="s">
        <v>252</v>
      </c>
      <c r="D265" s="182" t="s">
        <v>677</v>
      </c>
      <c r="E265" s="182" t="s">
        <v>205</v>
      </c>
      <c r="F265" s="182" t="s">
        <v>205</v>
      </c>
      <c r="G265" s="187" t="s">
        <v>714</v>
      </c>
      <c r="H265" s="183" t="s">
        <v>51</v>
      </c>
      <c r="I265" s="184" t="s">
        <v>716</v>
      </c>
      <c r="J265" s="187"/>
      <c r="K265" s="178"/>
      <c r="M265" s="188" t="s">
        <v>14</v>
      </c>
      <c r="N265" s="188" t="s">
        <v>15</v>
      </c>
      <c r="O265" s="188" t="s">
        <v>15</v>
      </c>
      <c r="P265" s="188" t="s">
        <v>14</v>
      </c>
      <c r="Q265" s="209" t="s">
        <v>15</v>
      </c>
      <c r="R265" s="209" t="s">
        <v>14</v>
      </c>
    </row>
    <row r="266" ht="100.8" x14ac:dyDescent="0.55000000000000004">
      <c r="A266" s="179">
        <v>7</v>
      </c>
      <c r="B266" s="180" t="s">
        <v>255</v>
      </c>
      <c r="C266" s="181" t="s">
        <v>252</v>
      </c>
      <c r="D266" s="182" t="s">
        <v>677</v>
      </c>
      <c r="E266" s="182" t="s">
        <v>254</v>
      </c>
      <c r="F266" s="182" t="s">
        <v>407</v>
      </c>
      <c r="G266" s="184" t="s">
        <v>712</v>
      </c>
      <c r="H266" s="183" t="s">
        <v>169</v>
      </c>
      <c r="I266" s="184" t="s">
        <v>715</v>
      </c>
      <c r="J266" s="187" t="s">
        <v>721</v>
      </c>
      <c r="K266" s="178"/>
      <c r="M266" s="188" t="s">
        <v>14</v>
      </c>
      <c r="N266" s="188" t="s">
        <v>15</v>
      </c>
      <c r="O266" s="188" t="s">
        <v>15</v>
      </c>
      <c r="P266" s="188" t="s">
        <v>14</v>
      </c>
      <c r="Q266" s="208" t="s">
        <v>15</v>
      </c>
      <c r="R266" s="208" t="s">
        <v>14</v>
      </c>
    </row>
    <row r="267" ht="72" x14ac:dyDescent="0.55000000000000004">
      <c r="A267" s="179">
        <v>8</v>
      </c>
      <c r="B267" s="180" t="s">
        <v>255</v>
      </c>
      <c r="C267" s="181" t="s">
        <v>260</v>
      </c>
      <c r="D267" s="182" t="s">
        <v>677</v>
      </c>
      <c r="E267" s="182" t="s">
        <v>3</v>
      </c>
      <c r="F267" s="182" t="s">
        <v>537</v>
      </c>
      <c r="G267" s="187" t="s">
        <v>717</v>
      </c>
      <c r="H267" s="183" t="s">
        <v>52</v>
      </c>
      <c r="I267" s="184" t="s">
        <v>718</v>
      </c>
      <c r="J267" s="187" t="s">
        <v>720</v>
      </c>
      <c r="K267" s="178"/>
      <c r="M267" s="188" t="s">
        <v>14</v>
      </c>
      <c r="N267" s="188" t="s">
        <v>15</v>
      </c>
      <c r="O267" s="188" t="s">
        <v>15</v>
      </c>
      <c r="P267" s="188" t="s">
        <v>14</v>
      </c>
      <c r="Q267" s="209" t="s">
        <v>15</v>
      </c>
      <c r="R267" s="209" t="s">
        <v>14</v>
      </c>
    </row>
    <row r="268" s="59" customFormat="1" x14ac:dyDescent="0.55000000000000004">
      <c r="A268" s="179">
        <v>9</v>
      </c>
      <c r="B268" s="180" t="s">
        <v>258</v>
      </c>
      <c r="C268" s="181" t="s">
        <v>260</v>
      </c>
      <c r="D268" s="182" t="s">
        <v>677</v>
      </c>
      <c r="E268" s="182" t="s">
        <v>412</v>
      </c>
      <c r="F268" s="182" t="s">
        <v>412</v>
      </c>
      <c r="G268" s="187"/>
      <c r="H268" s="183" t="s">
        <v>108</v>
      </c>
      <c r="I268" s="179"/>
      <c r="J268" s="187"/>
      <c r="K268" s="178"/>
      <c r="L268" s="62"/>
      <c r="M268" s="188" t="s">
        <v>15</v>
      </c>
      <c r="N268" s="188" t="s">
        <v>15</v>
      </c>
      <c r="O268" s="188" t="s">
        <v>14</v>
      </c>
      <c r="P268" s="188" t="s">
        <v>15</v>
      </c>
      <c r="Q268" s="208" t="s">
        <v>15</v>
      </c>
      <c r="R268" s="208" t="s">
        <v>14</v>
      </c>
      <c r="S268" s="62"/>
      <c r="T268" s="62"/>
      <c r="U268" s="62"/>
      <c r="V268" s="62"/>
      <c r="W268" s="62"/>
      <c r="X268" s="62"/>
      <c r="Y268" s="62"/>
      <c r="Z268" s="62"/>
      <c r="AA268" s="62"/>
    </row>
    <row r="269" ht="28.8" x14ac:dyDescent="0.55000000000000004">
      <c r="A269" s="179">
        <v>10</v>
      </c>
      <c r="B269" s="180" t="s">
        <v>258</v>
      </c>
      <c r="C269" s="181" t="s">
        <v>260</v>
      </c>
      <c r="D269" s="182" t="s">
        <v>673</v>
      </c>
      <c r="E269" s="182" t="s">
        <v>263</v>
      </c>
      <c r="F269" s="182" t="s">
        <v>263</v>
      </c>
      <c r="G269" s="187" t="s">
        <v>724</v>
      </c>
      <c r="H269" s="183" t="s">
        <v>51</v>
      </c>
      <c r="I269" s="179"/>
      <c r="J269" s="187" t="s">
        <v>723</v>
      </c>
      <c r="K269" s="178"/>
      <c r="M269" s="188" t="s">
        <v>15</v>
      </c>
      <c r="N269" s="188" t="s">
        <v>15</v>
      </c>
      <c r="O269" s="188" t="s">
        <v>14</v>
      </c>
      <c r="P269" s="188" t="s">
        <v>15</v>
      </c>
      <c r="Q269" s="209" t="s">
        <v>15</v>
      </c>
      <c r="R269" s="209" t="s">
        <v>14</v>
      </c>
    </row>
    <row r="270" x14ac:dyDescent="0.55000000000000004">
      <c r="A270" s="179">
        <v>11</v>
      </c>
      <c r="B270" s="180" t="s">
        <v>258</v>
      </c>
      <c r="C270" s="181" t="s">
        <v>260</v>
      </c>
      <c r="D270" s="182" t="s">
        <v>673</v>
      </c>
      <c r="E270" s="182" t="s">
        <v>429</v>
      </c>
      <c r="F270" s="182" t="s">
        <v>429</v>
      </c>
      <c r="G270" s="187" t="s">
        <v>19</v>
      </c>
      <c r="H270" s="183" t="s">
        <v>51</v>
      </c>
      <c r="I270" s="179"/>
      <c r="J270" s="187"/>
      <c r="K270" s="178"/>
      <c r="M270" s="188" t="s">
        <v>15</v>
      </c>
      <c r="N270" s="188" t="s">
        <v>15</v>
      </c>
      <c r="O270" s="188" t="s">
        <v>14</v>
      </c>
      <c r="P270" s="188" t="s">
        <v>15</v>
      </c>
      <c r="Q270" s="208" t="s">
        <v>15</v>
      </c>
      <c r="R270" s="208" t="s">
        <v>14</v>
      </c>
    </row>
    <row r="271" x14ac:dyDescent="0.55000000000000004">
      <c r="A271" s="179">
        <v>12</v>
      </c>
      <c r="B271" s="180" t="s">
        <v>258</v>
      </c>
      <c r="C271" s="181" t="s">
        <v>260</v>
      </c>
      <c r="D271" s="182" t="s">
        <v>673</v>
      </c>
      <c r="E271" s="182" t="s">
        <v>415</v>
      </c>
      <c r="F271" s="182" t="s">
        <v>415</v>
      </c>
      <c r="G271" s="187" t="s">
        <v>725</v>
      </c>
      <c r="H271" s="183" t="s">
        <v>52</v>
      </c>
      <c r="I271" s="179"/>
      <c r="J271" s="187"/>
      <c r="K271" s="178"/>
      <c r="M271" s="188" t="s">
        <v>15</v>
      </c>
      <c r="N271" s="188" t="s">
        <v>15</v>
      </c>
      <c r="O271" s="188" t="s">
        <v>14</v>
      </c>
      <c r="P271" s="188" t="s">
        <v>15</v>
      </c>
      <c r="Q271" s="208" t="s">
        <v>15</v>
      </c>
      <c r="R271" s="208" t="s">
        <v>14</v>
      </c>
    </row>
    <row r="272" ht="43.2" x14ac:dyDescent="0.55000000000000004">
      <c r="A272" s="179">
        <v>13</v>
      </c>
      <c r="B272" s="180" t="s">
        <v>258</v>
      </c>
      <c r="C272" s="181" t="s">
        <v>260</v>
      </c>
      <c r="D272" s="182" t="s">
        <v>673</v>
      </c>
      <c r="E272" s="182" t="s">
        <v>265</v>
      </c>
      <c r="F272" s="182" t="s">
        <v>265</v>
      </c>
      <c r="G272" s="187" t="s">
        <v>726</v>
      </c>
      <c r="H272" s="183" t="s">
        <v>51</v>
      </c>
      <c r="I272" s="179"/>
      <c r="J272" s="187"/>
      <c r="K272" s="178"/>
      <c r="M272" s="188" t="s">
        <v>15</v>
      </c>
      <c r="N272" s="188" t="s">
        <v>15</v>
      </c>
      <c r="O272" s="188" t="s">
        <v>14</v>
      </c>
      <c r="P272" s="188" t="s">
        <v>15</v>
      </c>
      <c r="Q272" s="208" t="s">
        <v>15</v>
      </c>
      <c r="R272" s="208" t="s">
        <v>14</v>
      </c>
    </row>
    <row r="273" x14ac:dyDescent="0.55000000000000004">
      <c r="A273" s="179">
        <v>11</v>
      </c>
      <c r="B273" s="180" t="s">
        <v>255</v>
      </c>
      <c r="C273" s="181" t="s">
        <v>366</v>
      </c>
      <c r="D273" s="182" t="s">
        <v>631</v>
      </c>
      <c r="E273" s="182" t="s">
        <v>453</v>
      </c>
      <c r="F273" s="182" t="s">
        <v>453</v>
      </c>
      <c r="G273" s="187"/>
      <c r="H273" s="183" t="s">
        <v>169</v>
      </c>
      <c r="I273" s="179"/>
      <c r="J273" s="187" t="s">
        <v>659</v>
      </c>
      <c r="K273" s="178"/>
      <c r="M273" s="188" t="s">
        <v>15</v>
      </c>
      <c r="N273" s="188" t="s">
        <v>15</v>
      </c>
      <c r="O273" s="188" t="s">
        <v>15</v>
      </c>
      <c r="P273" s="188" t="s">
        <v>15</v>
      </c>
      <c r="Q273" s="208" t="s">
        <v>15</v>
      </c>
      <c r="R273" s="208" t="s">
        <v>14</v>
      </c>
    </row>
    <row r="274" x14ac:dyDescent="0.55000000000000004">
      <c r="A274" s="179">
        <v>12</v>
      </c>
      <c r="B274" s="180" t="s">
        <v>538</v>
      </c>
      <c r="C274" s="181" t="s">
        <v>366</v>
      </c>
      <c r="D274" s="182" t="s">
        <v>454</v>
      </c>
      <c r="E274" s="182" t="s">
        <v>454</v>
      </c>
      <c r="F274" s="182" t="s">
        <v>454</v>
      </c>
      <c r="G274" s="187"/>
      <c r="H274" s="183" t="s">
        <v>169</v>
      </c>
      <c r="I274" s="179"/>
      <c r="J274" s="187" t="s">
        <v>659</v>
      </c>
      <c r="K274" s="178"/>
      <c r="M274" s="188" t="s">
        <v>15</v>
      </c>
      <c r="N274" s="188" t="s">
        <v>15</v>
      </c>
      <c r="O274" s="188" t="s">
        <v>15</v>
      </c>
      <c r="P274" s="188" t="s">
        <v>15</v>
      </c>
      <c r="Q274" s="208" t="s">
        <v>15</v>
      </c>
      <c r="R274" s="208" t="s">
        <v>14</v>
      </c>
    </row>
    <row r="275" x14ac:dyDescent="0.55000000000000004">
      <c r="B275" s="13"/>
      <c r="C275" s="63"/>
      <c r="G275" s="187"/>
      <c r="H275" s="13"/>
      <c r="I275" s="64"/>
      <c r="J275" s="187"/>
      <c r="K275" s="57"/>
      <c r="M275" s="188"/>
      <c r="N275" s="188"/>
      <c r="O275" s="188"/>
      <c r="P275" s="188"/>
    </row>
    <row r="276" x14ac:dyDescent="0.55000000000000004">
      <c r="B276" s="13"/>
      <c r="C276" s="63"/>
      <c r="G276" s="187"/>
      <c r="H276" s="13"/>
      <c r="I276" s="64"/>
      <c r="J276" s="187"/>
      <c r="K276" s="57"/>
      <c r="M276" s="188"/>
      <c r="N276" s="188"/>
      <c r="O276" s="188"/>
      <c r="P276" s="188"/>
    </row>
    <row r="277" x14ac:dyDescent="0.55000000000000004">
      <c r="B277" s="13"/>
      <c r="C277" s="63"/>
      <c r="G277" s="187"/>
      <c r="H277" s="13"/>
      <c r="I277" s="64"/>
      <c r="J277" s="187"/>
      <c r="K277" s="57"/>
      <c r="M277" s="188"/>
      <c r="N277" s="188"/>
      <c r="O277" s="188"/>
      <c r="P277" s="188"/>
    </row>
    <row r="278" x14ac:dyDescent="0.55000000000000004">
      <c r="B278" s="13"/>
      <c r="C278" s="63"/>
      <c r="G278" s="187"/>
      <c r="H278" s="13"/>
      <c r="I278" s="64"/>
      <c r="J278" s="187"/>
      <c r="K278" s="57"/>
      <c r="M278" s="188"/>
      <c r="N278" s="188"/>
      <c r="O278" s="188"/>
      <c r="P278" s="188"/>
    </row>
    <row r="279" ht="27" x14ac:dyDescent="0.55000000000000004">
      <c r="A279" s="28" t="s">
        <v>267</v>
      </c>
      <c r="B279" s="59"/>
      <c r="C279" s="59"/>
      <c r="D279" s="59"/>
      <c r="E279" s="59"/>
      <c r="F279" s="59"/>
      <c r="G279" s="59"/>
      <c r="H279" s="59"/>
      <c r="I279" s="59"/>
      <c r="J279" s="59"/>
      <c r="K279" s="59"/>
      <c r="L279" s="59"/>
      <c r="M279" s="59"/>
      <c r="N279" s="59"/>
      <c r="O279" s="59"/>
      <c r="P279" s="59"/>
      <c r="S279" s="59"/>
      <c r="T279" s="59"/>
      <c r="U279" s="59"/>
      <c r="V279" s="59"/>
      <c r="W279" s="59"/>
      <c r="X279" s="59"/>
      <c r="Y279" s="59"/>
    </row>
    <row r="280" ht="70.2" x14ac:dyDescent="0.55000000000000004">
      <c r="A280" s="9" t="s">
        <v>37</v>
      </c>
      <c r="B280" s="9" t="s">
        <v>43</v>
      </c>
      <c r="C280" s="9" t="s">
        <v>44</v>
      </c>
      <c r="D280" s="9" t="s">
        <v>581</v>
      </c>
      <c r="E280" s="194" t="s">
        <v>552</v>
      </c>
      <c r="F280" s="194" t="s">
        <v>553</v>
      </c>
      <c r="G280" s="9" t="s">
        <v>19</v>
      </c>
      <c r="H280" s="9" t="s">
        <v>36</v>
      </c>
      <c r="I280" s="210" t="s">
        <v>554</v>
      </c>
      <c r="J280" s="9" t="s">
        <v>47</v>
      </c>
      <c r="K280" s="186" t="s">
        <v>101</v>
      </c>
      <c r="L280" s="55" t="s">
        <v>48</v>
      </c>
      <c r="M280" s="55" t="s">
        <v>49</v>
      </c>
    </row>
    <row r="281" ht="28.8" x14ac:dyDescent="0.55000000000000004">
      <c r="A281" s="179">
        <v>1</v>
      </c>
      <c r="B281" s="180" t="s">
        <v>184</v>
      </c>
      <c r="C281" s="181" t="s">
        <v>267</v>
      </c>
      <c r="D281" s="181" t="s">
        <v>267</v>
      </c>
      <c r="E281" s="182" t="s">
        <v>186</v>
      </c>
      <c r="F281" s="182" t="s">
        <v>186</v>
      </c>
      <c r="G281" s="184" t="s">
        <v>731</v>
      </c>
      <c r="H281" s="183" t="s">
        <v>163</v>
      </c>
      <c r="I281" s="182"/>
      <c r="J281" s="178"/>
      <c r="K281" s="178"/>
      <c r="L281" s="179" t="s">
        <v>14</v>
      </c>
      <c r="M281" s="179" t="s">
        <v>14</v>
      </c>
    </row>
    <row r="282" ht="28.8" x14ac:dyDescent="0.55000000000000004">
      <c r="A282" s="179">
        <v>2</v>
      </c>
      <c r="B282" s="180" t="s">
        <v>184</v>
      </c>
      <c r="C282" s="181" t="s">
        <v>267</v>
      </c>
      <c r="D282" s="181" t="s">
        <v>267</v>
      </c>
      <c r="E282" s="182" t="s">
        <v>335</v>
      </c>
      <c r="F282" s="182" t="s">
        <v>335</v>
      </c>
      <c r="G282" s="184" t="s">
        <v>730</v>
      </c>
      <c r="H282" s="183" t="s">
        <v>169</v>
      </c>
      <c r="I282" s="182"/>
      <c r="J282" s="187" t="s">
        <v>729</v>
      </c>
      <c r="K282" s="178"/>
      <c r="L282" s="179" t="s">
        <v>14</v>
      </c>
      <c r="M282" s="179" t="s">
        <v>14</v>
      </c>
    </row>
    <row r="283" ht="86.4" x14ac:dyDescent="0.55000000000000004">
      <c r="A283" s="179">
        <v>3</v>
      </c>
      <c r="B283" s="180" t="s">
        <v>184</v>
      </c>
      <c r="C283" s="181" t="s">
        <v>267</v>
      </c>
      <c r="D283" s="181" t="s">
        <v>267</v>
      </c>
      <c r="E283" s="182" t="s">
        <v>177</v>
      </c>
      <c r="F283" s="182" t="s">
        <v>177</v>
      </c>
      <c r="G283" s="187" t="s">
        <v>649</v>
      </c>
      <c r="H283" s="183" t="s">
        <v>51</v>
      </c>
      <c r="I283" s="184" t="s">
        <v>650</v>
      </c>
      <c r="J283" s="184"/>
      <c r="K283" s="178"/>
      <c r="L283" s="179" t="s">
        <v>14</v>
      </c>
      <c r="M283" s="179" t="s">
        <v>15</v>
      </c>
    </row>
    <row r="284" ht="57.6" x14ac:dyDescent="0.55000000000000004">
      <c r="A284" s="179">
        <v>4</v>
      </c>
      <c r="B284" s="180" t="s">
        <v>184</v>
      </c>
      <c r="C284" s="181" t="s">
        <v>267</v>
      </c>
      <c r="D284" s="181" t="s">
        <v>267</v>
      </c>
      <c r="E284" s="182" t="s">
        <v>178</v>
      </c>
      <c r="F284" s="182" t="s">
        <v>178</v>
      </c>
      <c r="G284" s="187" t="s">
        <v>651</v>
      </c>
      <c r="H284" s="183" t="s">
        <v>51</v>
      </c>
      <c r="I284" s="184" t="s">
        <v>652</v>
      </c>
      <c r="J284" s="187" t="s">
        <v>732</v>
      </c>
      <c r="K284" s="178"/>
      <c r="L284" s="179" t="s">
        <v>14</v>
      </c>
      <c r="M284" s="179" t="s">
        <v>15</v>
      </c>
    </row>
    <row r="285" ht="43.2" x14ac:dyDescent="0.55000000000000004" customHeight="1">
      <c r="A285" s="179">
        <v>5</v>
      </c>
      <c r="B285" s="180" t="s">
        <v>184</v>
      </c>
      <c r="C285" s="181" t="s">
        <v>267</v>
      </c>
      <c r="D285" s="181" t="s">
        <v>267</v>
      </c>
      <c r="E285" s="182" t="s">
        <v>179</v>
      </c>
      <c r="F285" s="182" t="s">
        <v>179</v>
      </c>
      <c r="G285" s="187" t="s">
        <v>734</v>
      </c>
      <c r="H285" s="183" t="s">
        <v>169</v>
      </c>
      <c r="I285" s="184" t="s">
        <v>733</v>
      </c>
      <c r="J285" s="187" t="s">
        <v>735</v>
      </c>
      <c r="K285" s="178"/>
      <c r="L285" s="179" t="s">
        <v>14</v>
      </c>
      <c r="M285" s="179" t="s">
        <v>15</v>
      </c>
      <c r="AA285" s="256" t="inlineStr">
        <is>
          <t xml:space="preserve">MOC Categories = Type of Change.</t>
        </is>
      </c>
    </row>
    <row r="286" ht="72" x14ac:dyDescent="0.55000000000000004">
      <c r="A286" s="179">
        <v>6</v>
      </c>
      <c r="B286" s="180" t="s">
        <v>184</v>
      </c>
      <c r="C286" s="181" t="s">
        <v>267</v>
      </c>
      <c r="D286" s="181" t="s">
        <v>267</v>
      </c>
      <c r="E286" s="182" t="s">
        <v>434</v>
      </c>
      <c r="F286" s="182" t="s">
        <v>434</v>
      </c>
      <c r="G286" s="187"/>
      <c r="H286" s="183" t="s">
        <v>169</v>
      </c>
      <c r="I286" s="182"/>
      <c r="J286" s="187" t="s">
        <v>539</v>
      </c>
      <c r="K286" s="178"/>
      <c r="L286" s="179" t="s">
        <v>14</v>
      </c>
      <c r="M286" s="179" t="s">
        <v>15</v>
      </c>
    </row>
    <row r="287" ht="43.2" x14ac:dyDescent="0.55000000000000004" customHeight="1">
      <c r="A287" s="179">
        <v>7</v>
      </c>
      <c r="B287" s="180" t="s">
        <v>184</v>
      </c>
      <c r="C287" s="181" t="s">
        <v>267</v>
      </c>
      <c r="D287" s="181" t="s">
        <v>267</v>
      </c>
      <c r="E287" s="182" t="s">
        <v>432</v>
      </c>
      <c r="F287" s="182" t="s">
        <v>432</v>
      </c>
      <c r="G287" s="187" t="s">
        <v>736</v>
      </c>
      <c r="H287" s="183" t="s">
        <v>58</v>
      </c>
      <c r="I287" s="184" t="s">
        <v>737</v>
      </c>
      <c r="J287" s="187" t="s">
        <v>213</v>
      </c>
      <c r="K287" s="178"/>
      <c r="L287" s="179" t="s">
        <v>14</v>
      </c>
      <c r="M287" s="179" t="s">
        <v>15</v>
      </c>
      <c r="AA287" s="256" t="inlineStr">
        <is>
          <t xml:space="preserve">L04 = Grade of Change (Minor/Moderate/Major).</t>
        </is>
      </c>
    </row>
    <row r="288" ht="201.6" x14ac:dyDescent="0.55000000000000004">
      <c r="A288" s="179">
        <v>8</v>
      </c>
      <c r="B288" s="180" t="s">
        <v>184</v>
      </c>
      <c r="C288" s="181" t="s">
        <v>267</v>
      </c>
      <c r="D288" s="181" t="s">
        <v>267</v>
      </c>
      <c r="E288" s="182" t="s">
        <v>180</v>
      </c>
      <c r="F288" s="182" t="s">
        <v>180</v>
      </c>
      <c r="G288" s="187" t="s">
        <v>738</v>
      </c>
      <c r="H288" s="183" t="s">
        <v>108</v>
      </c>
      <c r="I288" s="184" t="s">
        <v>739</v>
      </c>
      <c r="J288" s="187"/>
      <c r="K288" s="178"/>
      <c r="L288" s="179" t="s">
        <v>15</v>
      </c>
      <c r="M288" s="179" t="s">
        <v>15</v>
      </c>
    </row>
    <row r="289" ht="216" x14ac:dyDescent="0.55000000000000004">
      <c r="A289" s="179">
        <v>9</v>
      </c>
      <c r="B289" s="180" t="s">
        <v>184</v>
      </c>
      <c r="C289" s="181" t="s">
        <v>267</v>
      </c>
      <c r="D289" s="181" t="s">
        <v>267</v>
      </c>
      <c r="E289" s="182" t="s">
        <v>399</v>
      </c>
      <c r="F289" s="182" t="s">
        <v>399</v>
      </c>
      <c r="G289" s="187" t="s">
        <v>740</v>
      </c>
      <c r="H289" s="183" t="s">
        <v>108</v>
      </c>
      <c r="I289" s="184" t="s">
        <v>741</v>
      </c>
      <c r="J289" s="187"/>
      <c r="K289" s="178"/>
      <c r="L289" s="179" t="s">
        <v>15</v>
      </c>
      <c r="M289" s="179" t="s">
        <v>15</v>
      </c>
    </row>
    <row r="290" ht="201.6" x14ac:dyDescent="0.55000000000000004">
      <c r="A290" s="179">
        <v>10</v>
      </c>
      <c r="B290" s="180" t="s">
        <v>184</v>
      </c>
      <c r="C290" s="181" t="s">
        <v>267</v>
      </c>
      <c r="D290" s="181" t="s">
        <v>267</v>
      </c>
      <c r="E290" s="182" t="s">
        <v>182</v>
      </c>
      <c r="F290" s="182" t="s">
        <v>182</v>
      </c>
      <c r="G290" s="187" t="s">
        <v>742</v>
      </c>
      <c r="H290" s="183" t="s">
        <v>108</v>
      </c>
      <c r="I290" s="184" t="s">
        <v>743</v>
      </c>
      <c r="J290" s="187"/>
      <c r="K290" s="178"/>
      <c r="L290" s="179" t="s">
        <v>15</v>
      </c>
      <c r="M290" s="179" t="s">
        <v>15</v>
      </c>
    </row>
    <row r="291" ht="43.2" x14ac:dyDescent="0.55000000000000004">
      <c r="A291" s="179">
        <v>11</v>
      </c>
      <c r="B291" s="180" t="s">
        <v>184</v>
      </c>
      <c r="C291" s="181" t="s">
        <v>267</v>
      </c>
      <c r="D291" s="181" t="s">
        <v>267</v>
      </c>
      <c r="E291" s="182" t="s">
        <v>183</v>
      </c>
      <c r="F291" s="182" t="s">
        <v>183</v>
      </c>
      <c r="G291" s="187" t="s">
        <v>653</v>
      </c>
      <c r="H291" s="183" t="s">
        <v>167</v>
      </c>
      <c r="I291" s="184" t="s">
        <v>744</v>
      </c>
      <c r="J291" s="187"/>
      <c r="K291" s="178"/>
      <c r="L291" s="179" t="s">
        <v>14</v>
      </c>
      <c r="M291" s="179" t="s">
        <v>15</v>
      </c>
    </row>
    <row r="292" ht="86.4" x14ac:dyDescent="0.55000000000000004">
      <c r="A292" s="179">
        <v>12</v>
      </c>
      <c r="B292" s="180" t="s">
        <v>184</v>
      </c>
      <c r="C292" s="181" t="s">
        <v>184</v>
      </c>
      <c r="D292" s="181" t="s">
        <v>267</v>
      </c>
      <c r="E292" s="182" t="s">
        <v>747</v>
      </c>
      <c r="F292" s="182" t="s">
        <v>747</v>
      </c>
      <c r="G292" s="187" t="s">
        <v>748</v>
      </c>
      <c r="H292" s="183" t="s">
        <v>51</v>
      </c>
      <c r="I292" s="184"/>
      <c r="J292" s="187" t="s">
        <v>749</v>
      </c>
      <c r="K292" s="178"/>
      <c r="L292" s="179" t="s">
        <v>15</v>
      </c>
      <c r="M292" s="179" t="s">
        <v>14</v>
      </c>
    </row>
    <row r="293" ht="28.8" x14ac:dyDescent="0.55000000000000004" customHeight="1">
      <c r="A293" s="179">
        <v>13</v>
      </c>
      <c r="B293" s="180" t="s">
        <v>184</v>
      </c>
      <c r="C293" s="181" t="s">
        <v>267</v>
      </c>
      <c r="D293" s="181" t="s">
        <v>185</v>
      </c>
      <c r="E293" s="182" t="s">
        <v>185</v>
      </c>
      <c r="F293" s="182" t="s">
        <v>185</v>
      </c>
      <c r="G293" s="187" t="s">
        <v>746</v>
      </c>
      <c r="H293" s="183" t="s">
        <v>169</v>
      </c>
      <c r="I293" s="184"/>
      <c r="J293" s="187" t="s">
        <v>745</v>
      </c>
      <c r="K293" s="178"/>
      <c r="L293" s="179" t="s">
        <v>15</v>
      </c>
      <c r="M293" s="179" t="s">
        <v>15</v>
      </c>
      <c r="AA293" s="256" t="inlineStr">
        <is>
          <t xml:space="preserve">Part 1 (Universal) at top location; Part 2 at Liquids segment; Part 3 at Dry segment.</t>
        </is>
      </c>
    </row>
    <row r="295" ht="27" x14ac:dyDescent="0.55000000000000004">
      <c r="A295" s="66" t="s">
        <v>268</v>
      </c>
      <c r="B295" s="58"/>
      <c r="C295" s="59"/>
      <c r="D295" s="59"/>
      <c r="E295" s="28"/>
      <c r="F295" s="59"/>
      <c r="G295" s="59"/>
      <c r="H295" s="59"/>
      <c r="I295" s="59"/>
      <c r="J295" s="59"/>
      <c r="K295" s="59"/>
    </row>
    <row r="296" ht="70.2" x14ac:dyDescent="0.55000000000000004">
      <c r="A296" s="9" t="s">
        <v>37</v>
      </c>
      <c r="B296" s="9" t="s">
        <v>43</v>
      </c>
      <c r="C296" s="9" t="s">
        <v>44</v>
      </c>
      <c r="D296" s="9" t="s">
        <v>581</v>
      </c>
      <c r="E296" s="194" t="s">
        <v>552</v>
      </c>
      <c r="F296" s="194" t="s">
        <v>553</v>
      </c>
      <c r="G296" s="9" t="s">
        <v>19</v>
      </c>
      <c r="H296" s="9" t="s">
        <v>36</v>
      </c>
      <c r="I296" s="210" t="s">
        <v>554</v>
      </c>
      <c r="J296" s="9" t="s">
        <v>47</v>
      </c>
      <c r="K296" s="186" t="s">
        <v>101</v>
      </c>
      <c r="L296" s="55" t="s">
        <v>48</v>
      </c>
      <c r="M296" s="55" t="s">
        <v>49</v>
      </c>
    </row>
    <row r="297" ht="16.5" x14ac:dyDescent="0.75">
      <c r="A297" s="179">
        <v>1</v>
      </c>
      <c r="B297" s="180" t="s">
        <v>184</v>
      </c>
      <c r="C297" s="206" t="s">
        <v>268</v>
      </c>
      <c r="D297" s="182" t="s">
        <v>268</v>
      </c>
      <c r="E297" s="182" t="s">
        <v>186</v>
      </c>
      <c r="F297" s="182" t="s">
        <v>186</v>
      </c>
      <c r="G297" s="183" t="s">
        <v>163</v>
      </c>
      <c r="H297" s="183" t="s">
        <v>163</v>
      </c>
      <c r="I297" s="179" t="s">
        <v>14</v>
      </c>
      <c r="J297" s="178"/>
      <c r="K297" s="178"/>
      <c r="L297" s="211" t="s">
        <v>15</v>
      </c>
      <c r="M297" s="211" t="s">
        <v>14</v>
      </c>
    </row>
    <row r="298" ht="28.8" x14ac:dyDescent="0.75">
      <c r="A298" s="179">
        <v>2</v>
      </c>
      <c r="B298" s="180" t="s">
        <v>184</v>
      </c>
      <c r="C298" s="206" t="s">
        <v>268</v>
      </c>
      <c r="D298" s="182" t="s">
        <v>268</v>
      </c>
      <c r="E298" s="182" t="s">
        <v>335</v>
      </c>
      <c r="F298" s="182" t="s">
        <v>335</v>
      </c>
      <c r="G298" s="184" t="s">
        <v>730</v>
      </c>
      <c r="H298" s="183" t="s">
        <v>169</v>
      </c>
      <c r="I298" s="182"/>
      <c r="J298" s="187" t="s">
        <v>729</v>
      </c>
      <c r="K298" s="178"/>
      <c r="L298" s="178" t="s">
        <v>14</v>
      </c>
      <c r="M298" s="178" t="s">
        <v>14</v>
      </c>
    </row>
    <row r="299" ht="43.2" x14ac:dyDescent="0.75">
      <c r="A299" s="179">
        <v>3</v>
      </c>
      <c r="B299" s="180" t="s">
        <v>184</v>
      </c>
      <c r="C299" s="206" t="s">
        <v>268</v>
      </c>
      <c r="D299" s="182" t="s">
        <v>268</v>
      </c>
      <c r="E299" s="182" t="s">
        <v>187</v>
      </c>
      <c r="F299" s="182" t="s">
        <v>187</v>
      </c>
      <c r="G299" s="184" t="s">
        <v>710</v>
      </c>
      <c r="H299" s="183" t="s">
        <v>51</v>
      </c>
      <c r="I299" s="184" t="s">
        <v>711</v>
      </c>
      <c r="J299" s="187" t="s">
        <v>732</v>
      </c>
      <c r="K299" s="178"/>
      <c r="L299" s="211" t="s">
        <v>14</v>
      </c>
      <c r="M299" s="211" t="s">
        <v>15</v>
      </c>
    </row>
    <row r="300" ht="72" x14ac:dyDescent="0.75">
      <c r="A300" s="179">
        <v>4</v>
      </c>
      <c r="B300" s="180" t="s">
        <v>184</v>
      </c>
      <c r="C300" s="206" t="s">
        <v>268</v>
      </c>
      <c r="D300" s="182" t="s">
        <v>268</v>
      </c>
      <c r="E300" s="182" t="s">
        <v>188</v>
      </c>
      <c r="F300" s="182" t="s">
        <v>188</v>
      </c>
      <c r="G300" s="187" t="s">
        <v>751</v>
      </c>
      <c r="H300" s="183" t="s">
        <v>106</v>
      </c>
      <c r="I300" s="184" t="s">
        <v>752</v>
      </c>
      <c r="J300" s="187" t="s">
        <v>447</v>
      </c>
      <c r="K300" s="178"/>
      <c r="L300" s="178" t="s">
        <v>14</v>
      </c>
      <c r="M300" s="178" t="s">
        <v>15</v>
      </c>
    </row>
    <row r="301" ht="43.2" x14ac:dyDescent="0.75">
      <c r="A301" s="179">
        <v>5</v>
      </c>
      <c r="B301" s="180" t="s">
        <v>184</v>
      </c>
      <c r="C301" s="206" t="s">
        <v>268</v>
      </c>
      <c r="D301" s="182" t="s">
        <v>268</v>
      </c>
      <c r="E301" s="182" t="s">
        <v>179</v>
      </c>
      <c r="F301" s="182" t="s">
        <v>179</v>
      </c>
      <c r="G301" s="187" t="s">
        <v>753</v>
      </c>
      <c r="H301" s="183" t="s">
        <v>169</v>
      </c>
      <c r="I301" s="184" t="s">
        <v>754</v>
      </c>
      <c r="J301" s="187" t="s">
        <v>735</v>
      </c>
      <c r="K301" s="178"/>
      <c r="L301" s="211" t="s">
        <v>14</v>
      </c>
      <c r="M301" s="211" t="s">
        <v>15</v>
      </c>
    </row>
    <row r="302" ht="72" x14ac:dyDescent="0.75">
      <c r="A302" s="179">
        <v>6</v>
      </c>
      <c r="B302" s="180" t="s">
        <v>184</v>
      </c>
      <c r="C302" s="206" t="s">
        <v>268</v>
      </c>
      <c r="D302" s="182" t="s">
        <v>268</v>
      </c>
      <c r="E302" s="182" t="s">
        <v>434</v>
      </c>
      <c r="F302" s="182" t="s">
        <v>434</v>
      </c>
      <c r="G302" s="187" t="s">
        <v>755</v>
      </c>
      <c r="H302" s="183" t="s">
        <v>169</v>
      </c>
      <c r="I302" s="184" t="s">
        <v>756</v>
      </c>
      <c r="J302" s="187" t="s">
        <v>539</v>
      </c>
      <c r="K302" s="178"/>
      <c r="L302" s="178" t="s">
        <v>14</v>
      </c>
      <c r="M302" s="178" t="s">
        <v>15</v>
      </c>
    </row>
    <row r="303" ht="43.2" x14ac:dyDescent="0.75" customHeight="1">
      <c r="A303" s="179">
        <v>7</v>
      </c>
      <c r="B303" s="180" t="s">
        <v>184</v>
      </c>
      <c r="C303" s="206" t="s">
        <v>268</v>
      </c>
      <c r="D303" s="182" t="s">
        <v>268</v>
      </c>
      <c r="E303" s="182" t="s">
        <v>432</v>
      </c>
      <c r="F303" s="182" t="s">
        <v>432</v>
      </c>
      <c r="G303" s="187" t="s">
        <v>757</v>
      </c>
      <c r="H303" s="183" t="s">
        <v>58</v>
      </c>
      <c r="I303" s="184" t="s">
        <v>758</v>
      </c>
      <c r="J303" s="254" t="inlineStr">
        <is>
          <t xml:space="preserve">L04 - Grade of Change</t>
        </is>
      </c>
      <c r="K303" s="267" t="inlineStr">
        <is>
          <t xml:space="preserve">M</t>
        </is>
      </c>
      <c r="L303" s="211" t="s">
        <v>14</v>
      </c>
      <c r="M303" s="211" t="s">
        <v>15</v>
      </c>
      <c r="AA303" s="256" t="inlineStr">
        <is>
          <t xml:space="preserve">Use the same list as MOC and Screening setup (baseline used L05).</t>
        </is>
      </c>
    </row>
    <row r="304" ht="172.8" x14ac:dyDescent="0.75">
      <c r="A304" s="179">
        <v>8</v>
      </c>
      <c r="B304" s="180" t="s">
        <v>184</v>
      </c>
      <c r="C304" s="206" t="s">
        <v>268</v>
      </c>
      <c r="D304" s="182" t="s">
        <v>268</v>
      </c>
      <c r="E304" s="182" t="s">
        <v>180</v>
      </c>
      <c r="F304" s="182" t="s">
        <v>180</v>
      </c>
      <c r="G304" s="187" t="s">
        <v>762</v>
      </c>
      <c r="H304" s="183" t="s">
        <v>108</v>
      </c>
      <c r="I304" s="184" t="s">
        <v>759</v>
      </c>
      <c r="J304" s="187"/>
      <c r="K304" s="178"/>
      <c r="L304" s="178" t="s">
        <v>15</v>
      </c>
      <c r="M304" s="178" t="s">
        <v>15</v>
      </c>
    </row>
    <row r="305" ht="172.8" x14ac:dyDescent="0.75">
      <c r="A305" s="179">
        <v>9</v>
      </c>
      <c r="B305" s="180" t="s">
        <v>184</v>
      </c>
      <c r="C305" s="206" t="s">
        <v>268</v>
      </c>
      <c r="D305" s="182" t="s">
        <v>268</v>
      </c>
      <c r="E305" s="182" t="s">
        <v>399</v>
      </c>
      <c r="F305" s="182" t="s">
        <v>399</v>
      </c>
      <c r="G305" s="187" t="s">
        <v>761</v>
      </c>
      <c r="H305" s="183" t="s">
        <v>108</v>
      </c>
      <c r="I305" s="184" t="s">
        <v>760</v>
      </c>
      <c r="J305" s="187"/>
      <c r="K305" s="178"/>
      <c r="L305" s="211" t="s">
        <v>15</v>
      </c>
      <c r="M305" s="211" t="s">
        <v>15</v>
      </c>
    </row>
    <row r="306" ht="172.8" x14ac:dyDescent="0.75">
      <c r="A306" s="179">
        <v>10</v>
      </c>
      <c r="B306" s="180" t="s">
        <v>184</v>
      </c>
      <c r="C306" s="206" t="s">
        <v>268</v>
      </c>
      <c r="D306" s="182" t="s">
        <v>268</v>
      </c>
      <c r="E306" s="182" t="s">
        <v>182</v>
      </c>
      <c r="F306" s="182" t="s">
        <v>182</v>
      </c>
      <c r="G306" s="187" t="s">
        <v>763</v>
      </c>
      <c r="H306" s="183" t="s">
        <v>108</v>
      </c>
      <c r="I306" s="184" t="s">
        <v>764</v>
      </c>
      <c r="J306" s="187"/>
      <c r="K306" s="178"/>
      <c r="L306" s="178" t="s">
        <v>15</v>
      </c>
      <c r="M306" s="178" t="s">
        <v>15</v>
      </c>
    </row>
    <row r="307" ht="43.2" x14ac:dyDescent="0.75">
      <c r="A307" s="179"/>
      <c r="B307" s="180" t="s">
        <v>184</v>
      </c>
      <c r="C307" s="206" t="s">
        <v>268</v>
      </c>
      <c r="D307" s="182" t="s">
        <v>268</v>
      </c>
      <c r="E307" s="182" t="s">
        <v>438</v>
      </c>
      <c r="F307" s="182" t="s">
        <v>438</v>
      </c>
      <c r="G307" s="187"/>
      <c r="H307" s="183" t="s">
        <v>169</v>
      </c>
      <c r="I307" s="184" t="s">
        <v>713</v>
      </c>
      <c r="J307" s="187" t="s">
        <v>660</v>
      </c>
      <c r="K307" s="178"/>
      <c r="L307" s="211" t="s">
        <v>15</v>
      </c>
      <c r="M307" s="211" t="s">
        <v>15</v>
      </c>
    </row>
    <row r="308" ht="28.8" x14ac:dyDescent="0.75">
      <c r="A308" s="179"/>
      <c r="B308" s="180" t="s">
        <v>184</v>
      </c>
      <c r="C308" s="206" t="s">
        <v>268</v>
      </c>
      <c r="D308" s="182" t="s">
        <v>268</v>
      </c>
      <c r="E308" s="182" t="s">
        <v>87</v>
      </c>
      <c r="F308" s="182" t="s">
        <v>87</v>
      </c>
      <c r="G308" s="187"/>
      <c r="H308" s="183" t="s">
        <v>52</v>
      </c>
      <c r="I308" s="184" t="s">
        <v>765</v>
      </c>
      <c r="J308" s="187"/>
      <c r="K308" s="178"/>
      <c r="L308" s="178" t="s">
        <v>15</v>
      </c>
      <c r="M308" s="178" t="s">
        <v>15</v>
      </c>
    </row>
    <row r="309" ht="115.2" x14ac:dyDescent="0.75">
      <c r="A309" s="179">
        <v>12</v>
      </c>
      <c r="B309" s="180" t="s">
        <v>184</v>
      </c>
      <c r="C309" s="206" t="s">
        <v>268</v>
      </c>
      <c r="D309" s="182" t="s">
        <v>268</v>
      </c>
      <c r="E309" s="182" t="s">
        <v>747</v>
      </c>
      <c r="F309" s="182" t="s">
        <v>747</v>
      </c>
      <c r="G309" s="187" t="s">
        <v>748</v>
      </c>
      <c r="H309" s="183" t="s">
        <v>51</v>
      </c>
      <c r="I309" s="184"/>
      <c r="J309" s="187" t="s">
        <v>750</v>
      </c>
      <c r="K309" s="178"/>
      <c r="L309" s="211" t="s">
        <v>15</v>
      </c>
      <c r="M309" s="211" t="s">
        <v>14</v>
      </c>
    </row>
    <row r="310" ht="28.8" x14ac:dyDescent="0.75">
      <c r="A310" s="179">
        <v>13</v>
      </c>
      <c r="B310" s="180" t="s">
        <v>184</v>
      </c>
      <c r="C310" s="206" t="s">
        <v>268</v>
      </c>
      <c r="D310" s="182" t="s">
        <v>268</v>
      </c>
      <c r="E310" s="182" t="s">
        <v>185</v>
      </c>
      <c r="F310" s="182" t="s">
        <v>185</v>
      </c>
      <c r="G310" s="187"/>
      <c r="H310" s="183" t="s">
        <v>169</v>
      </c>
      <c r="I310" s="184"/>
      <c r="J310" s="187" t="s">
        <v>745</v>
      </c>
      <c r="K310" s="178"/>
      <c r="L310" s="178" t="s">
        <v>15</v>
      </c>
      <c r="M310" s="178" t="s">
        <v>15</v>
      </c>
    </row>
    <row r="311" x14ac:dyDescent="0.55000000000000004">
      <c r="B311" s="13"/>
      <c r="C311" s="63"/>
      <c r="G311" s="13"/>
      <c r="H311" s="64"/>
      <c r="I311" s="64"/>
      <c r="J311" s="64"/>
      <c r="K311" s="57"/>
    </row>
    <row r="312" ht="27" x14ac:dyDescent="0.55000000000000004">
      <c r="A312" s="66" t="s">
        <v>269</v>
      </c>
      <c r="B312" s="58"/>
      <c r="C312" s="59"/>
      <c r="D312" s="59"/>
      <c r="E312" s="28"/>
      <c r="F312" s="59"/>
      <c r="G312" s="59"/>
      <c r="H312" s="59"/>
      <c r="I312" s="59"/>
      <c r="J312" s="59"/>
      <c r="K312" s="59"/>
    </row>
    <row r="313" ht="70.2" x14ac:dyDescent="0.55000000000000004">
      <c r="A313" s="9" t="s">
        <v>37</v>
      </c>
      <c r="B313" s="9" t="s">
        <v>43</v>
      </c>
      <c r="C313" s="9" t="s">
        <v>44</v>
      </c>
      <c r="D313" s="9" t="s">
        <v>581</v>
      </c>
      <c r="E313" s="194" t="s">
        <v>552</v>
      </c>
      <c r="F313" s="194" t="s">
        <v>553</v>
      </c>
      <c r="G313" s="9" t="s">
        <v>19</v>
      </c>
      <c r="H313" s="9" t="s">
        <v>36</v>
      </c>
      <c r="I313" s="210" t="s">
        <v>554</v>
      </c>
      <c r="J313" s="9" t="s">
        <v>47</v>
      </c>
      <c r="K313" s="186" t="s">
        <v>101</v>
      </c>
      <c r="L313" s="55" t="s">
        <v>48</v>
      </c>
      <c r="M313" s="55" t="s">
        <v>49</v>
      </c>
    </row>
    <row r="314" x14ac:dyDescent="0.55000000000000004">
      <c r="A314" s="179">
        <v>1</v>
      </c>
      <c r="B314" s="180" t="s">
        <v>184</v>
      </c>
      <c r="C314" s="181" t="s">
        <v>269</v>
      </c>
      <c r="D314" s="181" t="s">
        <v>269</v>
      </c>
      <c r="E314" s="182" t="s">
        <v>186</v>
      </c>
      <c r="F314" s="182" t="s">
        <v>186</v>
      </c>
      <c r="G314" s="183" t="s">
        <v>163</v>
      </c>
      <c r="H314" s="179" t="s">
        <v>14</v>
      </c>
      <c r="I314" s="179" t="s">
        <v>14</v>
      </c>
      <c r="J314" s="179"/>
      <c r="K314" s="178"/>
      <c r="L314" s="211" t="s">
        <v>14</v>
      </c>
      <c r="M314" s="211" t="s">
        <v>14</v>
      </c>
    </row>
    <row r="315" x14ac:dyDescent="0.55000000000000004">
      <c r="A315" s="179">
        <v>2</v>
      </c>
      <c r="B315" s="180" t="s">
        <v>184</v>
      </c>
      <c r="C315" s="181" t="s">
        <v>269</v>
      </c>
      <c r="D315" s="181" t="s">
        <v>269</v>
      </c>
      <c r="E315" s="182" t="s">
        <v>335</v>
      </c>
      <c r="F315" s="182" t="s">
        <v>335</v>
      </c>
      <c r="G315" s="184"/>
      <c r="H315" s="183" t="s">
        <v>169</v>
      </c>
      <c r="I315" s="182"/>
      <c r="J315" s="187" t="s">
        <v>729</v>
      </c>
      <c r="K315" s="178"/>
      <c r="L315" s="178" t="s">
        <v>14</v>
      </c>
      <c r="M315" s="178" t="s">
        <v>14</v>
      </c>
    </row>
    <row r="316" ht="43.2" x14ac:dyDescent="0.55000000000000004">
      <c r="A316" s="179">
        <v>3</v>
      </c>
      <c r="B316" s="180" t="s">
        <v>184</v>
      </c>
      <c r="C316" s="181" t="s">
        <v>269</v>
      </c>
      <c r="D316" s="181" t="s">
        <v>269</v>
      </c>
      <c r="E316" s="182" t="s">
        <v>205</v>
      </c>
      <c r="F316" s="182" t="s">
        <v>205</v>
      </c>
      <c r="G316" s="184"/>
      <c r="H316" s="183" t="s">
        <v>51</v>
      </c>
      <c r="I316" s="184" t="s">
        <v>768</v>
      </c>
      <c r="J316" s="187" t="s">
        <v>732</v>
      </c>
      <c r="K316" s="178"/>
      <c r="L316" s="211" t="s">
        <v>14</v>
      </c>
      <c r="M316" s="211" t="s">
        <v>15</v>
      </c>
    </row>
    <row r="317" ht="28.8" x14ac:dyDescent="0.55000000000000004">
      <c r="A317" s="179">
        <v>4</v>
      </c>
      <c r="B317" s="180" t="s">
        <v>184</v>
      </c>
      <c r="C317" s="181" t="s">
        <v>269</v>
      </c>
      <c r="D317" s="181" t="s">
        <v>269</v>
      </c>
      <c r="E317" s="182" t="s">
        <v>206</v>
      </c>
      <c r="F317" s="182" t="s">
        <v>206</v>
      </c>
      <c r="G317" s="187"/>
      <c r="H317" s="183" t="s">
        <v>106</v>
      </c>
      <c r="I317" s="184" t="s">
        <v>752</v>
      </c>
      <c r="J317" s="187" t="s">
        <v>769</v>
      </c>
      <c r="K317" s="178"/>
      <c r="L317" s="178" t="s">
        <v>14</v>
      </c>
      <c r="M317" s="178" t="s">
        <v>15</v>
      </c>
    </row>
    <row r="318" ht="43.2" x14ac:dyDescent="0.55000000000000004">
      <c r="A318" s="179">
        <v>5</v>
      </c>
      <c r="B318" s="180" t="s">
        <v>184</v>
      </c>
      <c r="C318" s="181" t="s">
        <v>269</v>
      </c>
      <c r="D318" s="181" t="s">
        <v>269</v>
      </c>
      <c r="E318" s="182" t="s">
        <v>179</v>
      </c>
      <c r="F318" s="182" t="s">
        <v>179</v>
      </c>
      <c r="G318" s="187"/>
      <c r="H318" s="183" t="s">
        <v>169</v>
      </c>
      <c r="I318" s="184" t="s">
        <v>770</v>
      </c>
      <c r="J318" s="187" t="s">
        <v>735</v>
      </c>
      <c r="K318" s="178"/>
      <c r="L318" s="211" t="s">
        <v>14</v>
      </c>
      <c r="M318" s="211" t="s">
        <v>15</v>
      </c>
    </row>
    <row r="319" ht="72" x14ac:dyDescent="0.55000000000000004">
      <c r="A319" s="179">
        <v>6</v>
      </c>
      <c r="B319" s="180" t="s">
        <v>184</v>
      </c>
      <c r="C319" s="181" t="s">
        <v>269</v>
      </c>
      <c r="D319" s="181" t="s">
        <v>269</v>
      </c>
      <c r="E319" s="182" t="s">
        <v>434</v>
      </c>
      <c r="F319" s="182" t="s">
        <v>434</v>
      </c>
      <c r="G319" s="187"/>
      <c r="H319" s="183" t="s">
        <v>169</v>
      </c>
      <c r="I319" s="184" t="s">
        <v>771</v>
      </c>
      <c r="J319" s="187" t="s">
        <v>539</v>
      </c>
      <c r="K319" s="178"/>
      <c r="L319" s="178" t="s">
        <v>14</v>
      </c>
      <c r="M319" s="178" t="s">
        <v>15</v>
      </c>
    </row>
    <row r="320" ht="43.2" x14ac:dyDescent="0.55000000000000004" customHeight="1">
      <c r="A320" s="179">
        <v>7</v>
      </c>
      <c r="B320" s="180" t="s">
        <v>184</v>
      </c>
      <c r="C320" s="181" t="s">
        <v>269</v>
      </c>
      <c r="D320" s="181" t="s">
        <v>269</v>
      </c>
      <c r="E320" s="182" t="s">
        <v>432</v>
      </c>
      <c r="F320" s="182" t="s">
        <v>432</v>
      </c>
      <c r="G320" s="187"/>
      <c r="H320" s="183" t="s">
        <v>58</v>
      </c>
      <c r="I320" s="184" t="s">
        <v>772</v>
      </c>
      <c r="J320" s="254" t="inlineStr">
        <is>
          <t xml:space="preserve">L04 - Grade of Change</t>
        </is>
      </c>
      <c r="K320" s="267" t="inlineStr">
        <is>
          <t xml:space="preserve">M</t>
        </is>
      </c>
      <c r="L320" s="211" t="s">
        <v>14</v>
      </c>
      <c r="M320" s="211" t="s">
        <v>15</v>
      </c>
      <c r="AA320" s="256" t="inlineStr">
        <is>
          <t xml:space="preserve">Use the same list as MOC and Screening setup (baseline used L05).</t>
        </is>
      </c>
    </row>
    <row r="321" ht="187.2" x14ac:dyDescent="0.55000000000000004">
      <c r="A321" s="179">
        <v>8</v>
      </c>
      <c r="B321" s="180" t="s">
        <v>184</v>
      </c>
      <c r="C321" s="181" t="s">
        <v>269</v>
      </c>
      <c r="D321" s="181" t="s">
        <v>269</v>
      </c>
      <c r="E321" s="182" t="s">
        <v>180</v>
      </c>
      <c r="F321" s="182" t="s">
        <v>180</v>
      </c>
      <c r="G321" s="187"/>
      <c r="H321" s="183" t="s">
        <v>108</v>
      </c>
      <c r="I321" s="184" t="s">
        <v>773</v>
      </c>
      <c r="J321" s="187"/>
      <c r="K321" s="178"/>
      <c r="L321" s="178" t="s">
        <v>15</v>
      </c>
      <c r="M321" s="178" t="s">
        <v>15</v>
      </c>
    </row>
    <row r="322" ht="187.2" x14ac:dyDescent="0.55000000000000004">
      <c r="A322" s="179">
        <v>9</v>
      </c>
      <c r="B322" s="180" t="s">
        <v>184</v>
      </c>
      <c r="C322" s="181" t="s">
        <v>269</v>
      </c>
      <c r="D322" s="181" t="s">
        <v>269</v>
      </c>
      <c r="E322" s="182" t="s">
        <v>399</v>
      </c>
      <c r="F322" s="182" t="s">
        <v>399</v>
      </c>
      <c r="G322" s="187"/>
      <c r="H322" s="183" t="s">
        <v>108</v>
      </c>
      <c r="I322" s="184" t="s">
        <v>774</v>
      </c>
      <c r="J322" s="187"/>
      <c r="K322" s="178"/>
      <c r="L322" s="211" t="s">
        <v>15</v>
      </c>
      <c r="M322" s="211" t="s">
        <v>15</v>
      </c>
    </row>
    <row r="323" ht="187.2" x14ac:dyDescent="0.55000000000000004">
      <c r="A323" s="179">
        <v>10</v>
      </c>
      <c r="B323" s="180" t="s">
        <v>184</v>
      </c>
      <c r="C323" s="181" t="s">
        <v>269</v>
      </c>
      <c r="D323" s="181" t="s">
        <v>269</v>
      </c>
      <c r="E323" s="182" t="s">
        <v>182</v>
      </c>
      <c r="F323" s="182" t="s">
        <v>182</v>
      </c>
      <c r="G323" s="187"/>
      <c r="H323" s="183" t="s">
        <v>108</v>
      </c>
      <c r="I323" s="184" t="s">
        <v>775</v>
      </c>
      <c r="J323" s="187"/>
      <c r="K323" s="178"/>
      <c r="L323" s="178" t="s">
        <v>15</v>
      </c>
      <c r="M323" s="178" t="s">
        <v>15</v>
      </c>
    </row>
    <row r="324" ht="28.8" x14ac:dyDescent="0.55000000000000004">
      <c r="A324" s="179"/>
      <c r="B324" s="180" t="s">
        <v>184</v>
      </c>
      <c r="C324" s="181" t="s">
        <v>269</v>
      </c>
      <c r="D324" s="181" t="s">
        <v>269</v>
      </c>
      <c r="E324" s="182" t="s">
        <v>431</v>
      </c>
      <c r="F324" s="182" t="s">
        <v>431</v>
      </c>
      <c r="G324" s="187"/>
      <c r="H324" s="183" t="s">
        <v>169</v>
      </c>
      <c r="I324" s="184" t="s">
        <v>776</v>
      </c>
      <c r="J324" s="187" t="s">
        <v>660</v>
      </c>
      <c r="K324" s="178"/>
      <c r="L324" s="211" t="s">
        <v>15</v>
      </c>
      <c r="M324" s="211" t="s">
        <v>15</v>
      </c>
    </row>
    <row r="325" ht="28.8" x14ac:dyDescent="0.55000000000000004">
      <c r="A325" s="179"/>
      <c r="B325" s="180" t="s">
        <v>184</v>
      </c>
      <c r="C325" s="181" t="s">
        <v>269</v>
      </c>
      <c r="D325" s="181" t="s">
        <v>269</v>
      </c>
      <c r="E325" s="182" t="s">
        <v>430</v>
      </c>
      <c r="F325" s="182" t="s">
        <v>430</v>
      </c>
      <c r="G325" s="187"/>
      <c r="H325" s="183" t="s">
        <v>52</v>
      </c>
      <c r="I325" s="184" t="s">
        <v>765</v>
      </c>
      <c r="J325" s="187"/>
      <c r="K325" s="178"/>
      <c r="L325" s="178" t="s">
        <v>15</v>
      </c>
      <c r="M325" s="178" t="s">
        <v>15</v>
      </c>
    </row>
    <row r="326" ht="72" x14ac:dyDescent="0.55000000000000004">
      <c r="A326" s="179">
        <v>12</v>
      </c>
      <c r="B326" s="180" t="s">
        <v>184</v>
      </c>
      <c r="C326" s="181" t="s">
        <v>269</v>
      </c>
      <c r="D326" s="181" t="s">
        <v>269</v>
      </c>
      <c r="E326" s="182" t="s">
        <v>766</v>
      </c>
      <c r="F326" s="182" t="s">
        <v>766</v>
      </c>
      <c r="G326" s="187" t="s">
        <v>748</v>
      </c>
      <c r="H326" s="183" t="s">
        <v>51</v>
      </c>
      <c r="I326" s="184"/>
      <c r="J326" s="187" t="s">
        <v>767</v>
      </c>
      <c r="K326" s="178"/>
      <c r="L326" s="211" t="s">
        <v>15</v>
      </c>
      <c r="M326" s="211" t="s">
        <v>14</v>
      </c>
    </row>
    <row r="327" ht="28.8" x14ac:dyDescent="0.55000000000000004">
      <c r="A327" s="179">
        <v>13</v>
      </c>
      <c r="B327" s="180" t="s">
        <v>184</v>
      </c>
      <c r="C327" s="181" t="s">
        <v>269</v>
      </c>
      <c r="D327" s="181" t="s">
        <v>269</v>
      </c>
      <c r="E327" s="182" t="s">
        <v>185</v>
      </c>
      <c r="F327" s="182" t="s">
        <v>185</v>
      </c>
      <c r="G327" s="187"/>
      <c r="H327" s="183" t="s">
        <v>169</v>
      </c>
      <c r="I327" s="184"/>
      <c r="J327" s="187" t="s">
        <v>745</v>
      </c>
      <c r="K327" s="178"/>
      <c r="L327" s="178" t="s">
        <v>15</v>
      </c>
      <c r="M327" s="178" t="s">
        <v>15</v>
      </c>
    </row>
    <row r="329" x14ac:dyDescent="0.55000000000000004">
      <c r="B329" s="13"/>
      <c r="C329" s="63"/>
      <c r="G329" s="13"/>
      <c r="H329" s="64"/>
      <c r="I329" s="64"/>
      <c r="J329" s="64"/>
      <c r="K329" s="13"/>
    </row>
    <row r="331">
      <c r="A331" s="190" t="inlineStr">
        <is>
          <t xml:space="preserve">MOC - Impala additional fields (A)</t>
        </is>
      </c>
    </row>
    <row r="332">
      <c r="A332" s="194" t="inlineStr">
        <is>
          <t xml:space="preserve">#</t>
        </is>
      </c>
      <c r="B332" s="194" t="inlineStr">
        <is>
          <t xml:space="preserve">Stage</t>
        </is>
      </c>
      <c r="C332" s="194" t="inlineStr">
        <is>
          <t xml:space="preserve">Object</t>
        </is>
      </c>
      <c r="D332" s="194" t="inlineStr">
        <is>
          <t xml:space="preserve">Detail Section</t>
        </is>
      </c>
      <c r="E332" s="194" t="inlineStr">
        <is>
          <t xml:space="preserve">Field Name (Caption)</t>
        </is>
      </c>
      <c r="F332" s="194" t="inlineStr">
        <is>
          <t xml:space="preserve">Caption in View</t>
        </is>
      </c>
      <c r="G332" s="194" t="inlineStr">
        <is>
          <t xml:space="preserve">Description</t>
        </is>
      </c>
      <c r="H332" s="194" t="inlineStr">
        <is>
          <t xml:space="preserve">Type</t>
        </is>
      </c>
      <c r="I332" s="185" t="inlineStr">
        <is>
          <t xml:space="preserve">Tooltips/Hints/Instruction Text</t>
        </is>
      </c>
      <c r="J332" s="194" t="inlineStr">
        <is>
          <t xml:space="preserve">Notes</t>
        </is>
      </c>
      <c r="K332" s="186" t="inlineStr">
        <is>
          <t xml:space="preserve">Add / Remove</t>
        </is>
      </c>
      <c r="L332" s="186" t="inlineStr">
        <is>
          <t xml:space="preserve">Mobile</t>
        </is>
      </c>
      <c r="M332" s="186" t="inlineStr">
        <is>
          <t xml:space="preserve">Mandatory in Initiation</t>
        </is>
      </c>
      <c r="N332" s="186" t="inlineStr">
        <is>
          <t xml:space="preserve">Read Only in Initiation</t>
        </is>
      </c>
      <c r="O332" s="252" t="inlineStr">
        <is>
          <t xml:space="preserve">Mandatory in Evaluation, Design &amp; Analysis</t>
        </is>
      </c>
      <c r="P332" s="252" t="inlineStr">
        <is>
          <t xml:space="preserve">Read Only in Evaluation, Design &amp; Analysis</t>
        </is>
      </c>
      <c r="Q332" s="252" t="inlineStr">
        <is>
          <t xml:space="preserve">Mandatory in Approval</t>
        </is>
      </c>
      <c r="R332" s="252" t="inlineStr">
        <is>
          <t xml:space="preserve">Read Only in Approval</t>
        </is>
      </c>
      <c r="S332" s="252" t="inlineStr">
        <is>
          <t xml:space="preserve">Mandatory in Implementation</t>
        </is>
      </c>
      <c r="T332" s="252" t="inlineStr">
        <is>
          <t xml:space="preserve">Read Only in Implementation</t>
        </is>
      </c>
      <c r="U332" s="252" t="inlineStr">
        <is>
          <t xml:space="preserve">Mandatory in Start-Up</t>
        </is>
      </c>
      <c r="V332" s="252" t="inlineStr">
        <is>
          <t xml:space="preserve">Read Only in Start-Up</t>
        </is>
      </c>
      <c r="W332" s="252" t="inlineStr">
        <is>
          <t xml:space="preserve">Mandatory in Follow-Up</t>
        </is>
      </c>
      <c r="X332" s="252" t="inlineStr">
        <is>
          <t xml:space="preserve">Read Only in Follow-Up</t>
        </is>
      </c>
      <c r="AA332" s="186" t="inlineStr">
        <is>
          <t xml:space="preserve">Impala Notes</t>
        </is>
      </c>
    </row>
    <row r="333" ht="86.4" customHeight="1">
      <c r="A333" s="253">
        <v>1</v>
      </c>
      <c r="B333" s="255" t="inlineStr">
        <is>
          <t xml:space="preserve">Initiation</t>
        </is>
      </c>
      <c r="C333" s="255" t="inlineStr">
        <is>
          <t xml:space="preserve">MOC</t>
        </is>
      </c>
      <c r="D333" s="255" t="inlineStr">
        <is>
          <t xml:space="preserve">Initiation Information Details</t>
        </is>
      </c>
      <c r="E333" s="257" t="inlineStr">
        <is>
          <t xml:space="preserve">Grade Guidance - &lt;Type of Change&gt;</t>
        </is>
      </c>
      <c r="F333" s="257" t="inlineStr">
        <is>
          <t xml:space="preserve">Grade Guidance - &lt;Type of Change&gt;</t>
        </is>
      </c>
      <c r="G333" s="254" t="inlineStr">
        <is>
          <t xml:space="preserve">Read-only guidance with the Minor / Moderate / Major descriptors of the selected Type of Change.</t>
        </is>
      </c>
      <c r="H333" s="254" t="inlineStr">
        <is>
          <t xml:space="preserve">Text (read-only)</t>
        </is>
      </c>
      <c r="I333" s="254"/>
      <c r="J333" s="256" t="inlineStr">
        <is>
          <t xml:space="preserve">8 read-only text fields (one per Type of Change), each visible only when Type of Change = that type (hide/show). Content: Lookup Values L09.</t>
        </is>
      </c>
      <c r="K333" s="256" t="inlineStr">
        <is>
          <t xml:space="preserve">A</t>
        </is>
      </c>
      <c r="L333" s="254" t="inlineStr">
        <is>
          <t xml:space="preserve">N</t>
        </is>
      </c>
      <c r="M333" s="268" t="inlineStr">
        <is>
          <t xml:space="preserve">N</t>
        </is>
      </c>
      <c r="N333" s="253" t="inlineStr">
        <is>
          <t xml:space="preserve">Y</t>
        </is>
      </c>
      <c r="O333" s="268" t="inlineStr">
        <is>
          <t xml:space="preserve">N</t>
        </is>
      </c>
      <c r="P333" s="268" t="inlineStr">
        <is>
          <t xml:space="preserve">Y</t>
        </is>
      </c>
      <c r="Q333" s="253" t="inlineStr">
        <is>
          <t xml:space="preserve">N</t>
        </is>
      </c>
      <c r="R333" s="253" t="inlineStr">
        <is>
          <t xml:space="preserve">Y</t>
        </is>
      </c>
      <c r="S333" s="253" t="inlineStr">
        <is>
          <t xml:space="preserve">N</t>
        </is>
      </c>
      <c r="T333" s="253" t="inlineStr">
        <is>
          <t xml:space="preserve">Y</t>
        </is>
      </c>
      <c r="U333" s="253" t="inlineStr">
        <is>
          <t xml:space="preserve">N</t>
        </is>
      </c>
      <c r="V333" s="253" t="inlineStr">
        <is>
          <t xml:space="preserve">Y</t>
        </is>
      </c>
      <c r="W333" s="253" t="inlineStr">
        <is>
          <t xml:space="preserve">N</t>
        </is>
      </c>
      <c r="X333" s="253" t="inlineStr">
        <is>
          <t xml:space="preserve">Y</t>
        </is>
      </c>
      <c r="AA333" s="256" t="inlineStr">
        <is>
          <t xml:space="preserve">Alonso: show only the descriptors of the selected type.</t>
        </is>
      </c>
    </row>
    <row r="334" ht="100.8" customHeight="1">
      <c r="A334" s="253">
        <v>2</v>
      </c>
      <c r="B334" s="255" t="inlineStr">
        <is>
          <t xml:space="preserve">Initiation</t>
        </is>
      </c>
      <c r="C334" s="255" t="inlineStr">
        <is>
          <t xml:space="preserve">MOC</t>
        </is>
      </c>
      <c r="D334" s="255" t="inlineStr">
        <is>
          <t xml:space="preserve">Initiation Information Details</t>
        </is>
      </c>
      <c r="E334" s="257" t="inlineStr">
        <is>
          <t xml:space="preserve">Automatic Major Activity?</t>
        </is>
      </c>
      <c r="F334" s="257" t="inlineStr">
        <is>
          <t xml:space="preserve">Automatic Major Activity?</t>
        </is>
      </c>
      <c r="G334" s="254" t="inlineStr">
        <is>
          <t xml:space="preserve">Flags activities that are always graded Major.</t>
        </is>
      </c>
      <c r="H334" s="254" t="inlineStr">
        <is>
          <t xml:space="preserve">Yes/No</t>
        </is>
      </c>
      <c r="I334" s="254" t="inlineStr">
        <is>
          <t xml:space="preserve">Tooltip: Yes if the change includes an activity on the Automatic Major list (see L09), e.g. floating roof/deck landing, tank entry, changes to Safety Critical Equipment.</t>
        </is>
      </c>
      <c r="J334" s="256" t="inlineStr">
        <is>
          <t xml:space="preserve">If Yes, Grade of Change must be Major (validation, see AH13).</t>
        </is>
      </c>
      <c r="K334" s="256" t="inlineStr">
        <is>
          <t xml:space="preserve">A</t>
        </is>
      </c>
      <c r="L334" s="254" t="inlineStr">
        <is>
          <t xml:space="preserve">N</t>
        </is>
      </c>
      <c r="M334" s="268" t="inlineStr">
        <is>
          <t xml:space="preserve">Y</t>
        </is>
      </c>
      <c r="N334" s="253" t="inlineStr">
        <is>
          <t xml:space="preserve">N</t>
        </is>
      </c>
      <c r="O334" s="268" t="inlineStr">
        <is>
          <t xml:space="preserve">N</t>
        </is>
      </c>
      <c r="P334" s="268" t="inlineStr">
        <is>
          <t xml:space="preserve">Y</t>
        </is>
      </c>
      <c r="Q334" s="253" t="inlineStr">
        <is>
          <t xml:space="preserve">N</t>
        </is>
      </c>
      <c r="R334" s="253" t="inlineStr">
        <is>
          <t xml:space="preserve">Y</t>
        </is>
      </c>
      <c r="S334" s="253" t="inlineStr">
        <is>
          <t xml:space="preserve">N</t>
        </is>
      </c>
      <c r="T334" s="253" t="inlineStr">
        <is>
          <t xml:space="preserve">Y</t>
        </is>
      </c>
      <c r="U334" s="253" t="inlineStr">
        <is>
          <t xml:space="preserve">N</t>
        </is>
      </c>
      <c r="V334" s="253" t="inlineStr">
        <is>
          <t xml:space="preserve">Y</t>
        </is>
      </c>
      <c r="W334" s="253" t="inlineStr">
        <is>
          <t xml:space="preserve">N</t>
        </is>
      </c>
      <c r="X334" s="253" t="inlineStr">
        <is>
          <t xml:space="preserve">Y</t>
        </is>
      </c>
      <c r="AA334" s="256" t="inlineStr">
        <is>
          <t xml:space="preserve">Shaun: guidance list to remove ambiguity.</t>
        </is>
      </c>
    </row>
    <row r="335" ht="43.2" customHeight="1">
      <c r="A335" s="253">
        <v>3</v>
      </c>
      <c r="B335" s="255" t="inlineStr">
        <is>
          <t xml:space="preserve">Initiation</t>
        </is>
      </c>
      <c r="C335" s="255" t="inlineStr">
        <is>
          <t xml:space="preserve">MOC</t>
        </is>
      </c>
      <c r="D335" s="255" t="inlineStr">
        <is>
          <t xml:space="preserve">Initiation Information Details</t>
        </is>
      </c>
      <c r="E335" s="257" t="inlineStr">
        <is>
          <t xml:space="preserve">Emergency Justification</t>
        </is>
      </c>
      <c r="F335" s="257" t="inlineStr">
        <is>
          <t xml:space="preserve">Emergency Justification</t>
        </is>
      </c>
      <c r="G335" s="254" t="inlineStr">
        <is>
          <t xml:space="preserve">Why the change cannot follow the normal MOC process.</t>
        </is>
      </c>
      <c r="H335" s="254" t="inlineStr">
        <is>
          <t xml:space="preserve">Text</t>
        </is>
      </c>
      <c r="I335" s="254" t="inlineStr">
        <is>
          <t xml:space="preserve">Tooltip: Describe the emergency and the interim controls in place.</t>
        </is>
      </c>
      <c r="J335" s="256" t="inlineStr">
        <is>
          <t xml:space="preserve">Visible and mandatory if Emergency Change = Yes.</t>
        </is>
      </c>
      <c r="K335" s="256" t="inlineStr">
        <is>
          <t xml:space="preserve">A</t>
        </is>
      </c>
      <c r="L335" s="254" t="inlineStr">
        <is>
          <t xml:space="preserve">N</t>
        </is>
      </c>
      <c r="M335" s="268" t="inlineStr">
        <is>
          <t xml:space="preserve">Y</t>
        </is>
      </c>
      <c r="N335" s="253" t="inlineStr">
        <is>
          <t xml:space="preserve">N</t>
        </is>
      </c>
      <c r="O335" s="268" t="inlineStr">
        <is>
          <t xml:space="preserve">N</t>
        </is>
      </c>
      <c r="P335" s="268" t="inlineStr">
        <is>
          <t xml:space="preserve">Y</t>
        </is>
      </c>
      <c r="Q335" s="253" t="inlineStr">
        <is>
          <t xml:space="preserve">N</t>
        </is>
      </c>
      <c r="R335" s="253" t="inlineStr">
        <is>
          <t xml:space="preserve">Y</t>
        </is>
      </c>
      <c r="S335" s="253" t="inlineStr">
        <is>
          <t xml:space="preserve">N</t>
        </is>
      </c>
      <c r="T335" s="253" t="inlineStr">
        <is>
          <t xml:space="preserve">Y</t>
        </is>
      </c>
      <c r="U335" s="253" t="inlineStr">
        <is>
          <t xml:space="preserve">N</t>
        </is>
      </c>
      <c r="V335" s="253" t="inlineStr">
        <is>
          <t xml:space="preserve">Y</t>
        </is>
      </c>
      <c r="W335" s="253" t="inlineStr">
        <is>
          <t xml:space="preserve">N</t>
        </is>
      </c>
      <c r="X335" s="253" t="inlineStr">
        <is>
          <t xml:space="preserve">Y</t>
        </is>
      </c>
      <c r="AA335" s="256" t="inlineStr">
        <is>
          <t xml:space="preserve">Emergency MOC documents the approval obtained before the operation.</t>
        </is>
      </c>
    </row>
    <row r="336" ht="57.6" customHeight="1">
      <c r="A336" s="253">
        <v>4</v>
      </c>
      <c r="B336" s="255" t="inlineStr">
        <is>
          <t xml:space="preserve">Initiation</t>
        </is>
      </c>
      <c r="C336" s="255" t="inlineStr">
        <is>
          <t xml:space="preserve">MOC</t>
        </is>
      </c>
      <c r="D336" s="255" t="inlineStr">
        <is>
          <t xml:space="preserve">Initiation Information Details</t>
        </is>
      </c>
      <c r="E336" s="257" t="inlineStr">
        <is>
          <t xml:space="preserve">Safety Critical Equipment Affected?</t>
        </is>
      </c>
      <c r="F336" s="257" t="inlineStr">
        <is>
          <t xml:space="preserve">Safety Critical Equipment Affected?</t>
        </is>
      </c>
      <c r="G336" s="254" t="inlineStr">
        <is>
          <t xml:space="preserve">Indicates if the change affects Safety Critical Equipment (SCE).</t>
        </is>
      </c>
      <c r="H336" s="254" t="inlineStr">
        <is>
          <t xml:space="preserve">Yes/No</t>
        </is>
      </c>
      <c r="I336" s="254" t="inlineStr">
        <is>
          <t xml:space="preserve">Tooltip: Check the Safety Critical Equipment List / maintenance critical equipment register.</t>
        </is>
      </c>
      <c r="J336" s="256" t="inlineStr">
        <is>
          <t xml:space="preserve">Default: No.</t>
        </is>
      </c>
      <c r="K336" s="256" t="inlineStr">
        <is>
          <t xml:space="preserve">A</t>
        </is>
      </c>
      <c r="L336" s="254" t="inlineStr">
        <is>
          <t xml:space="preserve">N</t>
        </is>
      </c>
      <c r="M336" s="268" t="inlineStr">
        <is>
          <t xml:space="preserve">Y</t>
        </is>
      </c>
      <c r="N336" s="253" t="inlineStr">
        <is>
          <t xml:space="preserve">N</t>
        </is>
      </c>
      <c r="O336" s="268" t="inlineStr">
        <is>
          <t xml:space="preserve">N</t>
        </is>
      </c>
      <c r="P336" s="268" t="inlineStr">
        <is>
          <t xml:space="preserve">Y</t>
        </is>
      </c>
      <c r="Q336" s="253" t="inlineStr">
        <is>
          <t xml:space="preserve">N</t>
        </is>
      </c>
      <c r="R336" s="253" t="inlineStr">
        <is>
          <t xml:space="preserve">Y</t>
        </is>
      </c>
      <c r="S336" s="253" t="inlineStr">
        <is>
          <t xml:space="preserve">N</t>
        </is>
      </c>
      <c r="T336" s="253" t="inlineStr">
        <is>
          <t xml:space="preserve">Y</t>
        </is>
      </c>
      <c r="U336" s="253" t="inlineStr">
        <is>
          <t xml:space="preserve">N</t>
        </is>
      </c>
      <c r="V336" s="253" t="inlineStr">
        <is>
          <t xml:space="preserve">Y</t>
        </is>
      </c>
      <c r="W336" s="253" t="inlineStr">
        <is>
          <t xml:space="preserve">N</t>
        </is>
      </c>
      <c r="X336" s="253" t="inlineStr">
        <is>
          <t xml:space="preserve">Y</t>
        </is>
      </c>
      <c r="AA336" s="256" t="inlineStr">
        <is>
          <t xml:space="preserve">Khesar: changes to critical equipment are often missed.</t>
        </is>
      </c>
    </row>
    <row r="337" ht="28.8" customHeight="1">
      <c r="A337" s="253">
        <v>5</v>
      </c>
      <c r="B337" s="255" t="inlineStr">
        <is>
          <t xml:space="preserve">Initiation</t>
        </is>
      </c>
      <c r="C337" s="255" t="inlineStr">
        <is>
          <t xml:space="preserve">MOC</t>
        </is>
      </c>
      <c r="D337" s="255" t="inlineStr">
        <is>
          <t xml:space="preserve">Initiation Information Details</t>
        </is>
      </c>
      <c r="E337" s="257" t="inlineStr">
        <is>
          <t xml:space="preserve">SCE Description / Tag</t>
        </is>
      </c>
      <c r="F337" s="257" t="inlineStr">
        <is>
          <t xml:space="preserve">SCE Description / Tag</t>
        </is>
      </c>
      <c r="G337" s="254" t="inlineStr">
        <is>
          <t xml:space="preserve">Affected Safety Critical Equipment.</t>
        </is>
      </c>
      <c r="H337" s="254" t="inlineStr">
        <is>
          <t xml:space="preserve">Text</t>
        </is>
      </c>
      <c r="I337" s="254"/>
      <c r="J337" s="256" t="inlineStr">
        <is>
          <t xml:space="preserve">Visible and mandatory if SCE Affected = Yes.</t>
        </is>
      </c>
      <c r="K337" s="256" t="inlineStr">
        <is>
          <t xml:space="preserve">A</t>
        </is>
      </c>
      <c r="L337" s="254" t="inlineStr">
        <is>
          <t xml:space="preserve">N</t>
        </is>
      </c>
      <c r="M337" s="268" t="inlineStr">
        <is>
          <t xml:space="preserve">Y</t>
        </is>
      </c>
      <c r="N337" s="253" t="inlineStr">
        <is>
          <t xml:space="preserve">N</t>
        </is>
      </c>
      <c r="O337" s="268" t="inlineStr">
        <is>
          <t xml:space="preserve">N</t>
        </is>
      </c>
      <c r="P337" s="268" t="inlineStr">
        <is>
          <t xml:space="preserve">Y</t>
        </is>
      </c>
      <c r="Q337" s="253" t="inlineStr">
        <is>
          <t xml:space="preserve">N</t>
        </is>
      </c>
      <c r="R337" s="253" t="inlineStr">
        <is>
          <t xml:space="preserve">Y</t>
        </is>
      </c>
      <c r="S337" s="253" t="inlineStr">
        <is>
          <t xml:space="preserve">N</t>
        </is>
      </c>
      <c r="T337" s="253" t="inlineStr">
        <is>
          <t xml:space="preserve">Y</t>
        </is>
      </c>
      <c r="U337" s="253" t="inlineStr">
        <is>
          <t xml:space="preserve">N</t>
        </is>
      </c>
      <c r="V337" s="253" t="inlineStr">
        <is>
          <t xml:space="preserve">Y</t>
        </is>
      </c>
      <c r="W337" s="253" t="inlineStr">
        <is>
          <t xml:space="preserve">N</t>
        </is>
      </c>
      <c r="X337" s="253" t="inlineStr">
        <is>
          <t xml:space="preserve">Y</t>
        </is>
      </c>
      <c r="AA337" s="256"/>
    </row>
    <row r="338" ht="72.0" customHeight="1">
      <c r="A338" s="253">
        <v>6</v>
      </c>
      <c r="B338" s="255" t="inlineStr">
        <is>
          <t xml:space="preserve">Initiation</t>
        </is>
      </c>
      <c r="C338" s="255" t="inlineStr">
        <is>
          <t xml:space="preserve">MOC</t>
        </is>
      </c>
      <c r="D338" s="255" t="inlineStr">
        <is>
          <t xml:space="preserve">Initiation Information Details</t>
        </is>
      </c>
      <c r="E338" s="257" t="inlineStr">
        <is>
          <t xml:space="preserve">Approval Level</t>
        </is>
      </c>
      <c r="F338" s="257" t="inlineStr">
        <is>
          <t xml:space="preserve">Approval Level</t>
        </is>
      </c>
      <c r="G338" s="254" t="inlineStr">
        <is>
          <t xml:space="preserve">Approval route derived from Grade of Change.</t>
        </is>
      </c>
      <c r="H338" s="254" t="inlineStr">
        <is>
          <t xml:space="preserve">Text (calculated, read-only)</t>
        </is>
      </c>
      <c r="I338" s="254"/>
      <c r="J338" s="256" t="inlineStr">
        <is>
          <t xml:space="preserve">Minor = 'Local - Terminal Manager'; Moderate = 'Regional - HSEC + Operations'; Major = 'Global - HSEC + Operations'.</t>
        </is>
      </c>
      <c r="K338" s="256" t="inlineStr">
        <is>
          <t xml:space="preserve">A</t>
        </is>
      </c>
      <c r="L338" s="254" t="inlineStr">
        <is>
          <t xml:space="preserve">N</t>
        </is>
      </c>
      <c r="M338" s="268" t="inlineStr">
        <is>
          <t xml:space="preserve">N</t>
        </is>
      </c>
      <c r="N338" s="253" t="inlineStr">
        <is>
          <t xml:space="preserve">Y</t>
        </is>
      </c>
      <c r="O338" s="268" t="inlineStr">
        <is>
          <t xml:space="preserve">N</t>
        </is>
      </c>
      <c r="P338" s="268" t="inlineStr">
        <is>
          <t xml:space="preserve">Y</t>
        </is>
      </c>
      <c r="Q338" s="253" t="inlineStr">
        <is>
          <t xml:space="preserve">N</t>
        </is>
      </c>
      <c r="R338" s="253" t="inlineStr">
        <is>
          <t xml:space="preserve">Y</t>
        </is>
      </c>
      <c r="S338" s="253" t="inlineStr">
        <is>
          <t xml:space="preserve">N</t>
        </is>
      </c>
      <c r="T338" s="253" t="inlineStr">
        <is>
          <t xml:space="preserve">Y</t>
        </is>
      </c>
      <c r="U338" s="253" t="inlineStr">
        <is>
          <t xml:space="preserve">N</t>
        </is>
      </c>
      <c r="V338" s="253" t="inlineStr">
        <is>
          <t xml:space="preserve">Y</t>
        </is>
      </c>
      <c r="W338" s="253" t="inlineStr">
        <is>
          <t xml:space="preserve">N</t>
        </is>
      </c>
      <c r="X338" s="253" t="inlineStr">
        <is>
          <t xml:space="preserve">Y</t>
        </is>
      </c>
      <c r="AA338" s="256" t="inlineStr">
        <is>
          <t xml:space="preserve">Basic calculated field (SOW Moderate).</t>
        </is>
      </c>
    </row>
    <row r="339" ht="28.8" customHeight="1">
      <c r="A339" s="253">
        <v>7</v>
      </c>
      <c r="B339" s="255" t="inlineStr">
        <is>
          <t xml:space="preserve">Approval</t>
        </is>
      </c>
      <c r="C339" s="255" t="inlineStr">
        <is>
          <t xml:space="preserve">MOC</t>
        </is>
      </c>
      <c r="D339" s="255" t="inlineStr">
        <is>
          <t xml:space="preserve">Approval Details</t>
        </is>
      </c>
      <c r="E339" s="257" t="inlineStr">
        <is>
          <t xml:space="preserve">Approval Notes</t>
        </is>
      </c>
      <c r="F339" s="257" t="inlineStr">
        <is>
          <t xml:space="preserve">Approval Notes</t>
        </is>
      </c>
      <c r="G339" s="254" t="inlineStr">
        <is>
          <t xml:space="preserve">Notes of the MOC Coordinator during approval.</t>
        </is>
      </c>
      <c r="H339" s="254" t="inlineStr">
        <is>
          <t xml:space="preserve">Text</t>
        </is>
      </c>
      <c r="I339" s="254"/>
      <c r="J339" s="256"/>
      <c r="K339" s="256" t="inlineStr">
        <is>
          <t xml:space="preserve">A</t>
        </is>
      </c>
      <c r="L339" s="254" t="inlineStr">
        <is>
          <t xml:space="preserve">N</t>
        </is>
      </c>
      <c r="M339" s="268" t="inlineStr">
        <is>
          <t xml:space="preserve">N</t>
        </is>
      </c>
      <c r="N339" s="253" t="inlineStr">
        <is>
          <t xml:space="preserve">Y</t>
        </is>
      </c>
      <c r="O339" s="268" t="inlineStr">
        <is>
          <t xml:space="preserve">N</t>
        </is>
      </c>
      <c r="P339" s="268" t="inlineStr">
        <is>
          <t xml:space="preserve">Y</t>
        </is>
      </c>
      <c r="Q339" s="253" t="inlineStr">
        <is>
          <t xml:space="preserve">N</t>
        </is>
      </c>
      <c r="R339" s="253" t="inlineStr">
        <is>
          <t xml:space="preserve">N</t>
        </is>
      </c>
      <c r="S339" s="253" t="inlineStr">
        <is>
          <t xml:space="preserve">N</t>
        </is>
      </c>
      <c r="T339" s="253" t="inlineStr">
        <is>
          <t xml:space="preserve">Y</t>
        </is>
      </c>
      <c r="U339" s="253" t="inlineStr">
        <is>
          <t xml:space="preserve">N</t>
        </is>
      </c>
      <c r="V339" s="253" t="inlineStr">
        <is>
          <t xml:space="preserve">Y</t>
        </is>
      </c>
      <c r="W339" s="253" t="inlineStr">
        <is>
          <t xml:space="preserve">N</t>
        </is>
      </c>
      <c r="X339" s="253" t="inlineStr">
        <is>
          <t xml:space="preserve">Y</t>
        </is>
      </c>
      <c r="AA339" s="256" t="inlineStr">
        <is>
          <t xml:space="preserve">Replaces Pre-Approval Notes.</t>
        </is>
      </c>
    </row>
    <row r="340" ht="28.8" customHeight="1">
      <c r="A340" s="253">
        <v>8</v>
      </c>
      <c r="B340" s="255" t="inlineStr">
        <is>
          <t xml:space="preserve">Implementation</t>
        </is>
      </c>
      <c r="C340" s="255" t="inlineStr">
        <is>
          <t xml:space="preserve">MOC</t>
        </is>
      </c>
      <c r="D340" s="255" t="inlineStr">
        <is>
          <t xml:space="preserve">Implementation Details</t>
        </is>
      </c>
      <c r="E340" s="257" t="inlineStr">
        <is>
          <t xml:space="preserve">Actual Implementation Date</t>
        </is>
      </c>
      <c r="F340" s="257" t="inlineStr">
        <is>
          <t xml:space="preserve">Actual Implementation Date</t>
        </is>
      </c>
      <c r="G340" s="254" t="inlineStr">
        <is>
          <t xml:space="preserve">Date the change was implemented.</t>
        </is>
      </c>
      <c r="H340" s="254" t="inlineStr">
        <is>
          <t xml:space="preserve">Date</t>
        </is>
      </c>
      <c r="I340" s="254"/>
      <c r="J340" s="256" t="inlineStr">
        <is>
          <t xml:space="preserve">Must be on or before Today.</t>
        </is>
      </c>
      <c r="K340" s="256" t="inlineStr">
        <is>
          <t xml:space="preserve">A</t>
        </is>
      </c>
      <c r="L340" s="254" t="inlineStr">
        <is>
          <t xml:space="preserve">N</t>
        </is>
      </c>
      <c r="M340" s="268" t="inlineStr">
        <is>
          <t xml:space="preserve">N</t>
        </is>
      </c>
      <c r="N340" s="253" t="inlineStr">
        <is>
          <t xml:space="preserve">Y</t>
        </is>
      </c>
      <c r="O340" s="268" t="inlineStr">
        <is>
          <t xml:space="preserve">N</t>
        </is>
      </c>
      <c r="P340" s="268" t="inlineStr">
        <is>
          <t xml:space="preserve">Y</t>
        </is>
      </c>
      <c r="Q340" s="253" t="inlineStr">
        <is>
          <t xml:space="preserve">N</t>
        </is>
      </c>
      <c r="R340" s="253" t="inlineStr">
        <is>
          <t xml:space="preserve">Y</t>
        </is>
      </c>
      <c r="S340" s="253" t="inlineStr">
        <is>
          <t xml:space="preserve">Y</t>
        </is>
      </c>
      <c r="T340" s="253" t="inlineStr">
        <is>
          <t xml:space="preserve">N</t>
        </is>
      </c>
      <c r="U340" s="253" t="inlineStr">
        <is>
          <t xml:space="preserve">N</t>
        </is>
      </c>
      <c r="V340" s="253" t="inlineStr">
        <is>
          <t xml:space="preserve">Y</t>
        </is>
      </c>
      <c r="W340" s="253" t="inlineStr">
        <is>
          <t xml:space="preserve">N</t>
        </is>
      </c>
      <c r="X340" s="253" t="inlineStr">
        <is>
          <t xml:space="preserve">Y</t>
        </is>
      </c>
      <c r="AA340" s="256" t="inlineStr">
        <is>
          <t xml:space="preserve">KPI: requested vs actual date.</t>
        </is>
      </c>
    </row>
    <row r="341" x14ac:dyDescent="0.55000000000000004" ht="115.2" customHeight="1">
      <c r="A341" s="253">
        <v>9</v>
      </c>
      <c r="B341" s="255" t="inlineStr">
        <is>
          <t xml:space="preserve">• Evaluation, Design &amp; Analysis
• Approval
• Implementation
• Start Up
• Follow Up</t>
        </is>
      </c>
      <c r="C341" s="255" t="inlineStr">
        <is>
          <t xml:space="preserve">MOC</t>
        </is>
      </c>
      <c r="D341" s="255" t="inlineStr">
        <is>
          <t xml:space="preserve">Action Plans</t>
        </is>
      </c>
      <c r="E341" s="257" t="inlineStr">
        <is>
          <t xml:space="preserve">Action Plans (OPTIONAL)</t>
        </is>
      </c>
      <c r="F341" s="257" t="inlineStr">
        <is>
          <t xml:space="preserve">Action Plans (OPTIONAL)</t>
        </is>
      </c>
      <c r="G341" s="254" t="inlineStr">
        <is>
          <t xml:space="preserve">Actions arising from the MOC (permits, licences, site-specific checks).</t>
        </is>
      </c>
      <c r="H341" s="254" t="inlineStr">
        <is>
          <t xml:space="preserve">Relations</t>
        </is>
      </c>
      <c r="I341" s="254"/>
      <c r="J341" s="256" t="inlineStr">
        <is>
          <t xml:space="preserve">1:M relation to Action Plan object; columns: Action No. | Description | Person Responsible | Due Date | Status. Only if Intelex confirms low effort. Decision 21-Oct: MOC Tasks remain the MOC actions.</t>
        </is>
      </c>
      <c r="K341" s="256" t="inlineStr">
        <is>
          <t xml:space="preserve">A</t>
        </is>
      </c>
      <c r="L341" s="254" t="inlineStr">
        <is>
          <t xml:space="preserve">N</t>
        </is>
      </c>
      <c r="M341" s="268" t="inlineStr">
        <is>
          <t xml:space="preserve">N</t>
        </is>
      </c>
      <c r="N341" s="253" t="inlineStr">
        <is>
          <t xml:space="preserve">N</t>
        </is>
      </c>
      <c r="O341" s="268" t="inlineStr">
        <is>
          <t xml:space="preserve">N</t>
        </is>
      </c>
      <c r="P341" s="268" t="inlineStr">
        <is>
          <t xml:space="preserve">N</t>
        </is>
      </c>
      <c r="Q341" s="253" t="inlineStr">
        <is>
          <t xml:space="preserve">N</t>
        </is>
      </c>
      <c r="R341" s="253" t="inlineStr">
        <is>
          <t xml:space="preserve">N</t>
        </is>
      </c>
      <c r="S341" s="253" t="inlineStr">
        <is>
          <t xml:space="preserve">N</t>
        </is>
      </c>
      <c r="T341" s="253" t="inlineStr">
        <is>
          <t xml:space="preserve">N</t>
        </is>
      </c>
      <c r="U341" s="253" t="inlineStr">
        <is>
          <t xml:space="preserve">N</t>
        </is>
      </c>
      <c r="V341" s="253" t="inlineStr">
        <is>
          <t xml:space="preserve">N</t>
        </is>
      </c>
      <c r="W341" s="253" t="inlineStr">
        <is>
          <t xml:space="preserve">N</t>
        </is>
      </c>
      <c r="X341" s="253" t="inlineStr">
        <is>
          <t xml:space="preserve">N</t>
        </is>
      </c>
      <c r="AA341" s="256" t="inlineStr">
        <is>
          <t xml:space="preserve">Nice-to-have (Sam). Shaun 21-Oct: OK with tasks.</t>
        </is>
      </c>
    </row>
    <row r="342" ht="72.0" customHeight="1">
      <c r="A342" s="253">
        <v>10</v>
      </c>
      <c r="B342" s="255" t="inlineStr">
        <is>
          <t xml:space="preserve">Draft (MOC Task)</t>
        </is>
      </c>
      <c r="C342" s="255" t="inlineStr">
        <is>
          <t xml:space="preserve">MOC</t>
        </is>
      </c>
      <c r="D342" s="255" t="inlineStr">
        <is>
          <t xml:space="preserve">MOC Task Details</t>
        </is>
      </c>
      <c r="E342" s="257" t="inlineStr">
        <is>
          <t xml:space="preserve">Complete Before Stage</t>
        </is>
      </c>
      <c r="F342" s="257" t="inlineStr">
        <is>
          <t xml:space="preserve">Complete Before Stage</t>
        </is>
      </c>
      <c r="G342" s="254" t="inlineStr">
        <is>
          <t xml:space="preserve">MOC stage by which the task must be closed.</t>
        </is>
      </c>
      <c r="H342" s="254" t="inlineStr">
        <is>
          <t xml:space="preserve">Lookup (Approval / Start Up / Follow Up)</t>
        </is>
      </c>
      <c r="I342" s="254" t="inlineStr">
        <is>
          <t xml:space="preserve">Tooltip: Pre-startup tasks = Start Up; post-change tasks (e.g. P&amp;ID update) = Follow Up.</t>
        </is>
      </c>
      <c r="J342" s="256" t="inlineStr">
        <is>
          <t xml:space="preserve">Field on MOC Task (all task types). MOC stage gate checks only open tasks due for that stage [Intelex to confirm].</t>
        </is>
      </c>
      <c r="K342" s="256" t="inlineStr">
        <is>
          <t xml:space="preserve">A</t>
        </is>
      </c>
      <c r="L342" s="254" t="inlineStr">
        <is>
          <t xml:space="preserve">N</t>
        </is>
      </c>
      <c r="M342" s="268" t="inlineStr">
        <is>
          <t xml:space="preserve">N</t>
        </is>
      </c>
      <c r="N342" s="253" t="inlineStr">
        <is>
          <t xml:space="preserve">N</t>
        </is>
      </c>
      <c r="O342" s="268" t="inlineStr">
        <is>
          <t xml:space="preserve">N</t>
        </is>
      </c>
      <c r="P342" s="268" t="inlineStr">
        <is>
          <t xml:space="preserve">N</t>
        </is>
      </c>
      <c r="Q342" s="253" t="inlineStr">
        <is>
          <t xml:space="preserve">N</t>
        </is>
      </c>
      <c r="R342" s="253" t="inlineStr">
        <is>
          <t xml:space="preserve">N</t>
        </is>
      </c>
      <c r="S342" s="253" t="inlineStr">
        <is>
          <t xml:space="preserve">N</t>
        </is>
      </c>
      <c r="T342" s="253" t="inlineStr">
        <is>
          <t xml:space="preserve">N</t>
        </is>
      </c>
      <c r="U342" s="253" t="inlineStr">
        <is>
          <t xml:space="preserve">N</t>
        </is>
      </c>
      <c r="V342" s="253" t="inlineStr">
        <is>
          <t xml:space="preserve">N</t>
        </is>
      </c>
      <c r="W342" s="253" t="inlineStr">
        <is>
          <t xml:space="preserve">N</t>
        </is>
      </c>
      <c r="X342" s="253" t="inlineStr">
        <is>
          <t xml:space="preserve">N</t>
        </is>
      </c>
      <c r="AA342" s="256" t="inlineStr">
        <is>
          <t xml:space="preserve">21-Oct (Khesar / Sam): tasks due later must not block the MOC. BRD FR-B3-032.</t>
        </is>
      </c>
    </row>
    <row r="343" ht="57.6" customHeight="1">
      <c r="A343" s="253">
        <v>11</v>
      </c>
      <c r="B343" s="255" t="inlineStr">
        <is>
          <t xml:space="preserve">Initiation</t>
        </is>
      </c>
      <c r="C343" s="255" t="inlineStr">
        <is>
          <t xml:space="preserve">MOC</t>
        </is>
      </c>
      <c r="D343" s="255" t="inlineStr">
        <is>
          <t xml:space="preserve">Initiation Information Details</t>
        </is>
      </c>
      <c r="E343" s="257" t="inlineStr">
        <is>
          <t xml:space="preserve">Change Owner</t>
        </is>
      </c>
      <c r="F343" s="257" t="inlineStr">
        <is>
          <t xml:space="preserve">Change Owner</t>
        </is>
      </c>
      <c r="G343" s="254" t="inlineStr">
        <is>
          <t xml:space="preserve">Accountable for the change through to closure.</t>
        </is>
      </c>
      <c r="H343" s="254" t="inlineStr">
        <is>
          <t xml:space="preserve">Relations</t>
        </is>
      </c>
      <c r="I343" s="254" t="inlineStr">
        <is>
          <t xml:space="preserve">Tooltip: Person accountable for the change until closure (may be the requester).</t>
        </is>
      </c>
      <c r="J343" s="256" t="inlineStr">
        <is>
          <t xml:space="preserve">M:1 relation to Employee. Default Value: Change Requester.</t>
        </is>
      </c>
      <c r="K343" s="256" t="inlineStr">
        <is>
          <t xml:space="preserve">A</t>
        </is>
      </c>
      <c r="L343" s="254" t="inlineStr">
        <is>
          <t xml:space="preserve">N</t>
        </is>
      </c>
      <c r="M343" s="268" t="inlineStr">
        <is>
          <t xml:space="preserve">Y</t>
        </is>
      </c>
      <c r="N343" s="253" t="inlineStr">
        <is>
          <t xml:space="preserve">N</t>
        </is>
      </c>
      <c r="O343" s="268" t="inlineStr">
        <is>
          <t xml:space="preserve">N</t>
        </is>
      </c>
      <c r="P343" s="268" t="inlineStr">
        <is>
          <t xml:space="preserve">N</t>
        </is>
      </c>
      <c r="Q343" s="253" t="inlineStr">
        <is>
          <t xml:space="preserve">N</t>
        </is>
      </c>
      <c r="R343" s="253" t="inlineStr">
        <is>
          <t xml:space="preserve">Y</t>
        </is>
      </c>
      <c r="S343" s="253" t="inlineStr">
        <is>
          <t xml:space="preserve">N</t>
        </is>
      </c>
      <c r="T343" s="253" t="inlineStr">
        <is>
          <t xml:space="preserve">Y</t>
        </is>
      </c>
      <c r="U343" s="253" t="inlineStr">
        <is>
          <t xml:space="preserve">N</t>
        </is>
      </c>
      <c r="V343" s="253" t="inlineStr">
        <is>
          <t xml:space="preserve">Y</t>
        </is>
      </c>
      <c r="W343" s="253" t="inlineStr">
        <is>
          <t xml:space="preserve">N</t>
        </is>
      </c>
      <c r="X343" s="253" t="inlineStr">
        <is>
          <t xml:space="preserve">Y</t>
        </is>
      </c>
      <c r="AA343" s="256" t="inlineStr">
        <is>
          <t xml:space="preserve">BRD FR-B3-026 (Should) / FR-B3-004: originator vs owner.</t>
        </is>
      </c>
    </row>
    <row r="344" ht="43.2" customHeight="1">
      <c r="A344" s="253">
        <v>12</v>
      </c>
      <c r="B344" s="255" t="inlineStr">
        <is>
          <t xml:space="preserve">Initiation</t>
        </is>
      </c>
      <c r="C344" s="255" t="inlineStr">
        <is>
          <t xml:space="preserve">MOC</t>
        </is>
      </c>
      <c r="D344" s="255" t="inlineStr">
        <is>
          <t xml:space="preserve">Initiation Information Details</t>
        </is>
      </c>
      <c r="E344" s="257" t="inlineStr">
        <is>
          <t xml:space="preserve">Operational Owner</t>
        </is>
      </c>
      <c r="F344" s="257" t="inlineStr">
        <is>
          <t xml:space="preserve">Operational Owner</t>
        </is>
      </c>
      <c r="G344" s="254" t="inlineStr">
        <is>
          <t xml:space="preserve">Owner of the affected area or asset.</t>
        </is>
      </c>
      <c r="H344" s="254" t="inlineStr">
        <is>
          <t xml:space="preserve">Relations</t>
        </is>
      </c>
      <c r="I344" s="254" t="inlineStr">
        <is>
          <t xml:space="preserve">Tooltip: Responsible for operational readiness before start-up.</t>
        </is>
      </c>
      <c r="J344" s="256" t="inlineStr">
        <is>
          <t xml:space="preserve">M:1 relation to Employee.</t>
        </is>
      </c>
      <c r="K344" s="256" t="inlineStr">
        <is>
          <t xml:space="preserve">A</t>
        </is>
      </c>
      <c r="L344" s="254" t="inlineStr">
        <is>
          <t xml:space="preserve">N</t>
        </is>
      </c>
      <c r="M344" s="268" t="inlineStr">
        <is>
          <t xml:space="preserve">Y</t>
        </is>
      </c>
      <c r="N344" s="253" t="inlineStr">
        <is>
          <t xml:space="preserve">N</t>
        </is>
      </c>
      <c r="O344" s="268" t="inlineStr">
        <is>
          <t xml:space="preserve">N</t>
        </is>
      </c>
      <c r="P344" s="268" t="inlineStr">
        <is>
          <t xml:space="preserve">N</t>
        </is>
      </c>
      <c r="Q344" s="253" t="inlineStr">
        <is>
          <t xml:space="preserve">N</t>
        </is>
      </c>
      <c r="R344" s="253" t="inlineStr">
        <is>
          <t xml:space="preserve">Y</t>
        </is>
      </c>
      <c r="S344" s="253" t="inlineStr">
        <is>
          <t xml:space="preserve">N</t>
        </is>
      </c>
      <c r="T344" s="253" t="inlineStr">
        <is>
          <t xml:space="preserve">Y</t>
        </is>
      </c>
      <c r="U344" s="253" t="inlineStr">
        <is>
          <t xml:space="preserve">N</t>
        </is>
      </c>
      <c r="V344" s="253" t="inlineStr">
        <is>
          <t xml:space="preserve">Y</t>
        </is>
      </c>
      <c r="W344" s="253" t="inlineStr">
        <is>
          <t xml:space="preserve">N</t>
        </is>
      </c>
      <c r="X344" s="253" t="inlineStr">
        <is>
          <t xml:space="preserve">Y</t>
        </is>
      </c>
      <c r="AA344" s="256" t="inlineStr">
        <is>
          <t xml:space="preserve">BRD FR-B3-004 (Must).</t>
        </is>
      </c>
    </row>
    <row r="345" ht="28.8" customHeight="1">
      <c r="A345" s="253">
        <v>13</v>
      </c>
      <c r="B345" s="255" t="inlineStr">
        <is>
          <t xml:space="preserve">Initiation</t>
        </is>
      </c>
      <c r="C345" s="255" t="inlineStr">
        <is>
          <t xml:space="preserve">MOC</t>
        </is>
      </c>
      <c r="D345" s="255" t="inlineStr">
        <is>
          <t xml:space="preserve">Initiation Information Details</t>
        </is>
      </c>
      <c r="E345" s="257" t="inlineStr">
        <is>
          <t xml:space="preserve">Affected Equipment / Process / System</t>
        </is>
      </c>
      <c r="F345" s="257" t="inlineStr">
        <is>
          <t xml:space="preserve">Affected Equipment / Process / System</t>
        </is>
      </c>
      <c r="G345" s="254" t="inlineStr">
        <is>
          <t xml:space="preserve">What the change touches.</t>
        </is>
      </c>
      <c r="H345" s="254" t="inlineStr">
        <is>
          <t xml:space="preserve">Text</t>
        </is>
      </c>
      <c r="I345" s="254"/>
      <c r="J345" s="256"/>
      <c r="K345" s="256" t="inlineStr">
        <is>
          <t xml:space="preserve">A</t>
        </is>
      </c>
      <c r="L345" s="254" t="inlineStr">
        <is>
          <t xml:space="preserve">N</t>
        </is>
      </c>
      <c r="M345" s="268" t="inlineStr">
        <is>
          <t xml:space="preserve">Y</t>
        </is>
      </c>
      <c r="N345" s="253" t="inlineStr">
        <is>
          <t xml:space="preserve">N</t>
        </is>
      </c>
      <c r="O345" s="268" t="inlineStr">
        <is>
          <t xml:space="preserve">N</t>
        </is>
      </c>
      <c r="P345" s="268" t="inlineStr">
        <is>
          <t xml:space="preserve">N</t>
        </is>
      </c>
      <c r="Q345" s="253" t="inlineStr">
        <is>
          <t xml:space="preserve">N</t>
        </is>
      </c>
      <c r="R345" s="253" t="inlineStr">
        <is>
          <t xml:space="preserve">Y</t>
        </is>
      </c>
      <c r="S345" s="253" t="inlineStr">
        <is>
          <t xml:space="preserve">N</t>
        </is>
      </c>
      <c r="T345" s="253" t="inlineStr">
        <is>
          <t xml:space="preserve">Y</t>
        </is>
      </c>
      <c r="U345" s="253" t="inlineStr">
        <is>
          <t xml:space="preserve">N</t>
        </is>
      </c>
      <c r="V345" s="253" t="inlineStr">
        <is>
          <t xml:space="preserve">Y</t>
        </is>
      </c>
      <c r="W345" s="253" t="inlineStr">
        <is>
          <t xml:space="preserve">N</t>
        </is>
      </c>
      <c r="X345" s="253" t="inlineStr">
        <is>
          <t xml:space="preserve">Y</t>
        </is>
      </c>
      <c r="AA345" s="256" t="inlineStr">
        <is>
          <t xml:space="preserve">BRD FR-B3-001 (Must).</t>
        </is>
      </c>
    </row>
    <row r="346" ht="57.6" customHeight="1">
      <c r="A346" s="253">
        <v>14</v>
      </c>
      <c r="B346" s="255" t="inlineStr">
        <is>
          <t xml:space="preserve">Initiation</t>
        </is>
      </c>
      <c r="C346" s="255" t="inlineStr">
        <is>
          <t xml:space="preserve">MOC</t>
        </is>
      </c>
      <c r="D346" s="255" t="inlineStr">
        <is>
          <t xml:space="preserve">Initiation Information Details</t>
        </is>
      </c>
      <c r="E346" s="257" t="inlineStr">
        <is>
          <t xml:space="preserve">Temporary Change Review Date</t>
        </is>
      </c>
      <c r="F346" s="257" t="inlineStr">
        <is>
          <t xml:space="preserve">Temporary Change Review Date</t>
        </is>
      </c>
      <c r="G346" s="254" t="inlineStr">
        <is>
          <t xml:space="preserve">Next review of the temporary change.</t>
        </is>
      </c>
      <c r="H346" s="254" t="inlineStr">
        <is>
          <t xml:space="preserve">Date</t>
        </is>
      </c>
      <c r="I346" s="254"/>
      <c r="J346" s="256" t="inlineStr">
        <is>
          <t xml:space="preserve">Visible and mandatory if Temporary Change = Yes. Must be on or before Change Expiry.</t>
        </is>
      </c>
      <c r="K346" s="256" t="inlineStr">
        <is>
          <t xml:space="preserve">A</t>
        </is>
      </c>
      <c r="L346" s="254" t="inlineStr">
        <is>
          <t xml:space="preserve">N</t>
        </is>
      </c>
      <c r="M346" s="268" t="inlineStr">
        <is>
          <t xml:space="preserve">Y</t>
        </is>
      </c>
      <c r="N346" s="253" t="inlineStr">
        <is>
          <t xml:space="preserve">N</t>
        </is>
      </c>
      <c r="O346" s="268" t="inlineStr">
        <is>
          <t xml:space="preserve">N</t>
        </is>
      </c>
      <c r="P346" s="268" t="inlineStr">
        <is>
          <t xml:space="preserve">N</t>
        </is>
      </c>
      <c r="Q346" s="253" t="inlineStr">
        <is>
          <t xml:space="preserve">N</t>
        </is>
      </c>
      <c r="R346" s="253" t="inlineStr">
        <is>
          <t xml:space="preserve">N</t>
        </is>
      </c>
      <c r="S346" s="253" t="inlineStr">
        <is>
          <t xml:space="preserve">N</t>
        </is>
      </c>
      <c r="T346" s="253" t="inlineStr">
        <is>
          <t xml:space="preserve">N</t>
        </is>
      </c>
      <c r="U346" s="253" t="inlineStr">
        <is>
          <t xml:space="preserve">N</t>
        </is>
      </c>
      <c r="V346" s="253" t="inlineStr">
        <is>
          <t xml:space="preserve">N</t>
        </is>
      </c>
      <c r="W346" s="253" t="inlineStr">
        <is>
          <t xml:space="preserve">N</t>
        </is>
      </c>
      <c r="X346" s="253" t="inlineStr">
        <is>
          <t xml:space="preserve">N</t>
        </is>
      </c>
      <c r="AA346" s="256" t="inlineStr">
        <is>
          <t xml:space="preserve">BRD FR-B3-003 / FR-B3-014 (Must).</t>
        </is>
      </c>
    </row>
    <row r="347" ht="43.2" customHeight="1">
      <c r="A347" s="253">
        <v>15</v>
      </c>
      <c r="B347" s="255" t="inlineStr">
        <is>
          <t xml:space="preserve">Follow Up</t>
        </is>
      </c>
      <c r="C347" s="255" t="inlineStr">
        <is>
          <t xml:space="preserve">MOC</t>
        </is>
      </c>
      <c r="D347" s="255" t="inlineStr">
        <is>
          <t xml:space="preserve">Follow-Up Details</t>
        </is>
      </c>
      <c r="E347" s="257" t="inlineStr">
        <is>
          <t xml:space="preserve">Number of Extensions</t>
        </is>
      </c>
      <c r="F347" s="257" t="inlineStr">
        <is>
          <t xml:space="preserve">Number of Extensions</t>
        </is>
      </c>
      <c r="G347" s="254" t="inlineStr">
        <is>
          <t xml:space="preserve">Times the temporary change has been extended.</t>
        </is>
      </c>
      <c r="H347" s="254" t="inlineStr">
        <is>
          <t xml:space="preserve">Number</t>
        </is>
      </c>
      <c r="I347" s="254" t="inlineStr">
        <is>
          <t xml:space="preserve">Tooltip: Each extension needs a rationale and re-approval at the MOC grade.</t>
        </is>
      </c>
      <c r="J347" s="256" t="inlineStr">
        <is>
          <t xml:space="preserve">Visible if Temporary Change = Yes. Max 3 (AH16).</t>
        </is>
      </c>
      <c r="K347" s="256" t="inlineStr">
        <is>
          <t xml:space="preserve">A</t>
        </is>
      </c>
      <c r="L347" s="254" t="inlineStr">
        <is>
          <t xml:space="preserve">N</t>
        </is>
      </c>
      <c r="M347" s="268" t="inlineStr">
        <is>
          <t xml:space="preserve">N</t>
        </is>
      </c>
      <c r="N347" s="253" t="inlineStr">
        <is>
          <t xml:space="preserve">Y</t>
        </is>
      </c>
      <c r="O347" s="268" t="inlineStr">
        <is>
          <t xml:space="preserve">N</t>
        </is>
      </c>
      <c r="P347" s="268" t="inlineStr">
        <is>
          <t xml:space="preserve">N</t>
        </is>
      </c>
      <c r="Q347" s="253" t="inlineStr">
        <is>
          <t xml:space="preserve">N</t>
        </is>
      </c>
      <c r="R347" s="253" t="inlineStr">
        <is>
          <t xml:space="preserve">N</t>
        </is>
      </c>
      <c r="S347" s="253" t="inlineStr">
        <is>
          <t xml:space="preserve">N</t>
        </is>
      </c>
      <c r="T347" s="253" t="inlineStr">
        <is>
          <t xml:space="preserve">N</t>
        </is>
      </c>
      <c r="U347" s="253" t="inlineStr">
        <is>
          <t xml:space="preserve">N</t>
        </is>
      </c>
      <c r="V347" s="253" t="inlineStr">
        <is>
          <t xml:space="preserve">N</t>
        </is>
      </c>
      <c r="W347" s="253" t="inlineStr">
        <is>
          <t xml:space="preserve">N</t>
        </is>
      </c>
      <c r="X347" s="253" t="inlineStr">
        <is>
          <t xml:space="preserve">N</t>
        </is>
      </c>
      <c r="AA347" s="256" t="inlineStr">
        <is>
          <t xml:space="preserve">BRD RULE-B3-08 (Must).</t>
        </is>
      </c>
    </row>
    <row r="348" ht="28.8" customHeight="1">
      <c r="A348" s="253">
        <v>16</v>
      </c>
      <c r="B348" s="255" t="inlineStr">
        <is>
          <t xml:space="preserve">Follow Up</t>
        </is>
      </c>
      <c r="C348" s="255" t="inlineStr">
        <is>
          <t xml:space="preserve">MOC</t>
        </is>
      </c>
      <c r="D348" s="255" t="inlineStr">
        <is>
          <t xml:space="preserve">Follow-Up Details</t>
        </is>
      </c>
      <c r="E348" s="257" t="inlineStr">
        <is>
          <t xml:space="preserve">Extension Rationale</t>
        </is>
      </c>
      <c r="F348" s="257" t="inlineStr">
        <is>
          <t xml:space="preserve">Extension Rationale</t>
        </is>
      </c>
      <c r="G348" s="254" t="inlineStr">
        <is>
          <t xml:space="preserve">Why the temporary change is extended.</t>
        </is>
      </c>
      <c r="H348" s="254" t="inlineStr">
        <is>
          <t xml:space="preserve">Text</t>
        </is>
      </c>
      <c r="I348" s="254"/>
      <c r="J348" s="256" t="inlineStr">
        <is>
          <t xml:space="preserve">Visible and mandatory if Number of Extensions &gt; 0.</t>
        </is>
      </c>
      <c r="K348" s="256" t="inlineStr">
        <is>
          <t xml:space="preserve">A</t>
        </is>
      </c>
      <c r="L348" s="254" t="inlineStr">
        <is>
          <t xml:space="preserve">N</t>
        </is>
      </c>
      <c r="M348" s="268" t="inlineStr">
        <is>
          <t xml:space="preserve">N</t>
        </is>
      </c>
      <c r="N348" s="253" t="inlineStr">
        <is>
          <t xml:space="preserve">Y</t>
        </is>
      </c>
      <c r="O348" s="268" t="inlineStr">
        <is>
          <t xml:space="preserve">N</t>
        </is>
      </c>
      <c r="P348" s="268" t="inlineStr">
        <is>
          <t xml:space="preserve">N</t>
        </is>
      </c>
      <c r="Q348" s="253" t="inlineStr">
        <is>
          <t xml:space="preserve">N</t>
        </is>
      </c>
      <c r="R348" s="253" t="inlineStr">
        <is>
          <t xml:space="preserve">N</t>
        </is>
      </c>
      <c r="S348" s="253" t="inlineStr">
        <is>
          <t xml:space="preserve">N</t>
        </is>
      </c>
      <c r="T348" s="253" t="inlineStr">
        <is>
          <t xml:space="preserve">N</t>
        </is>
      </c>
      <c r="U348" s="253" t="inlineStr">
        <is>
          <t xml:space="preserve">N</t>
        </is>
      </c>
      <c r="V348" s="253" t="inlineStr">
        <is>
          <t xml:space="preserve">N</t>
        </is>
      </c>
      <c r="W348" s="253" t="inlineStr">
        <is>
          <t xml:space="preserve">N</t>
        </is>
      </c>
      <c r="X348" s="253" t="inlineStr">
        <is>
          <t xml:space="preserve">N</t>
        </is>
      </c>
      <c r="AA348" s="256" t="inlineStr">
        <is>
          <t xml:space="preserve">BRD FR-B3-003 (Must).</t>
        </is>
      </c>
    </row>
    <row r="349" ht="57.6" customHeight="1">
      <c r="A349" s="253">
        <v>17</v>
      </c>
      <c r="B349" s="255" t="inlineStr">
        <is>
          <t xml:space="preserve">Initiation</t>
        </is>
      </c>
      <c r="C349" s="255" t="inlineStr">
        <is>
          <t xml:space="preserve">MOC</t>
        </is>
      </c>
      <c r="D349" s="255" t="inlineStr">
        <is>
          <t xml:space="preserve">Initiation Information Details</t>
        </is>
      </c>
      <c r="E349" s="257" t="inlineStr">
        <is>
          <t xml:space="preserve">Regularisation Due Date</t>
        </is>
      </c>
      <c r="F349" s="257" t="inlineStr">
        <is>
          <t xml:space="preserve">Regularisation Due Date</t>
        </is>
      </c>
      <c r="G349" s="254" t="inlineStr">
        <is>
          <t xml:space="preserve">Deadline to complete the emergency MOC dossier.</t>
        </is>
      </c>
      <c r="H349" s="254" t="inlineStr">
        <is>
          <t xml:space="preserve">Date (calculated, read-only)</t>
        </is>
      </c>
      <c r="I349" s="254"/>
      <c r="J349" s="256" t="inlineStr">
        <is>
          <t xml:space="preserve">Visible if Emergency Change = Yes. = date of approval + [TBC] days. Overdue flag in reports.</t>
        </is>
      </c>
      <c r="K349" s="256" t="inlineStr">
        <is>
          <t xml:space="preserve">A</t>
        </is>
      </c>
      <c r="L349" s="254" t="inlineStr">
        <is>
          <t xml:space="preserve">N</t>
        </is>
      </c>
      <c r="M349" s="268" t="inlineStr">
        <is>
          <t xml:space="preserve">N</t>
        </is>
      </c>
      <c r="N349" s="253" t="inlineStr">
        <is>
          <t xml:space="preserve">Y</t>
        </is>
      </c>
      <c r="O349" s="268" t="inlineStr">
        <is>
          <t xml:space="preserve">N</t>
        </is>
      </c>
      <c r="P349" s="268" t="inlineStr">
        <is>
          <t xml:space="preserve">Y</t>
        </is>
      </c>
      <c r="Q349" s="253" t="inlineStr">
        <is>
          <t xml:space="preserve">N</t>
        </is>
      </c>
      <c r="R349" s="253" t="inlineStr">
        <is>
          <t xml:space="preserve">Y</t>
        </is>
      </c>
      <c r="S349" s="253" t="inlineStr">
        <is>
          <t xml:space="preserve">N</t>
        </is>
      </c>
      <c r="T349" s="253" t="inlineStr">
        <is>
          <t xml:space="preserve">Y</t>
        </is>
      </c>
      <c r="U349" s="253" t="inlineStr">
        <is>
          <t xml:space="preserve">N</t>
        </is>
      </c>
      <c r="V349" s="253" t="inlineStr">
        <is>
          <t xml:space="preserve">Y</t>
        </is>
      </c>
      <c r="W349" s="253" t="inlineStr">
        <is>
          <t xml:space="preserve">N</t>
        </is>
      </c>
      <c r="X349" s="253" t="inlineStr">
        <is>
          <t xml:space="preserve">Y</t>
        </is>
      </c>
      <c r="AA349" s="256" t="inlineStr">
        <is>
          <t xml:space="preserve">BRD RULE-B3-14 / FR-B3-015 (Must).</t>
        </is>
      </c>
    </row>
    <row r="350" ht="28.8" customHeight="1">
      <c r="A350" s="253">
        <v>18</v>
      </c>
      <c r="B350" s="255" t="inlineStr">
        <is>
          <t xml:space="preserve">Evaluation, Design &amp; Analysis</t>
        </is>
      </c>
      <c r="C350" s="255" t="inlineStr">
        <is>
          <t xml:space="preserve">MOC</t>
        </is>
      </c>
      <c r="D350" s="255" t="inlineStr">
        <is>
          <t xml:space="preserve">Evaluation, Design &amp; Analysis Details</t>
        </is>
      </c>
      <c r="E350" s="257" t="inlineStr">
        <is>
          <t xml:space="preserve">Proposed Implementation Plan</t>
        </is>
      </c>
      <c r="F350" s="257" t="inlineStr">
        <is>
          <t xml:space="preserve">Proposed Implementation Plan</t>
        </is>
      </c>
      <c r="G350" s="254" t="inlineStr">
        <is>
          <t xml:space="preserve">How and when the change will be implemented.</t>
        </is>
      </c>
      <c r="H350" s="254" t="inlineStr">
        <is>
          <t xml:space="preserve">Text (multi-line)</t>
        </is>
      </c>
      <c r="I350" s="254"/>
      <c r="J350" s="256"/>
      <c r="K350" s="256" t="inlineStr">
        <is>
          <t xml:space="preserve">A</t>
        </is>
      </c>
      <c r="L350" s="254" t="inlineStr">
        <is>
          <t xml:space="preserve">N</t>
        </is>
      </c>
      <c r="M350" s="268" t="inlineStr">
        <is>
          <t xml:space="preserve">N</t>
        </is>
      </c>
      <c r="N350" s="253" t="inlineStr">
        <is>
          <t xml:space="preserve">N</t>
        </is>
      </c>
      <c r="O350" s="268" t="inlineStr">
        <is>
          <t xml:space="preserve">Y</t>
        </is>
      </c>
      <c r="P350" s="268" t="inlineStr">
        <is>
          <t xml:space="preserve">N</t>
        </is>
      </c>
      <c r="Q350" s="253" t="inlineStr">
        <is>
          <t xml:space="preserve">N</t>
        </is>
      </c>
      <c r="R350" s="253" t="inlineStr">
        <is>
          <t xml:space="preserve">Y</t>
        </is>
      </c>
      <c r="S350" s="253" t="inlineStr">
        <is>
          <t xml:space="preserve">N</t>
        </is>
      </c>
      <c r="T350" s="253" t="inlineStr">
        <is>
          <t xml:space="preserve">Y</t>
        </is>
      </c>
      <c r="U350" s="253" t="inlineStr">
        <is>
          <t xml:space="preserve">N</t>
        </is>
      </c>
      <c r="V350" s="253" t="inlineStr">
        <is>
          <t xml:space="preserve">Y</t>
        </is>
      </c>
      <c r="W350" s="253" t="inlineStr">
        <is>
          <t xml:space="preserve">N</t>
        </is>
      </c>
      <c r="X350" s="253" t="inlineStr">
        <is>
          <t xml:space="preserve">Y</t>
        </is>
      </c>
      <c r="AA350" s="256" t="inlineStr">
        <is>
          <t xml:space="preserve">BRD FR-B3-001 (Must).</t>
        </is>
      </c>
    </row>
    <row r="351" ht="72.0" customHeight="1">
      <c r="A351" s="253">
        <v>19</v>
      </c>
      <c r="B351" s="255" t="inlineStr">
        <is>
          <t xml:space="preserve">Evaluation, Design &amp; Analysis</t>
        </is>
      </c>
      <c r="C351" s="255" t="inlineStr">
        <is>
          <t xml:space="preserve">MOC</t>
        </is>
      </c>
      <c r="D351" s="255" t="inlineStr">
        <is>
          <t xml:space="preserve">Evaluation, Design &amp; Analysis Details</t>
        </is>
      </c>
      <c r="E351" s="257" t="inlineStr">
        <is>
          <t xml:space="preserve">Affected Personnel / Groups</t>
        </is>
      </c>
      <c r="F351" s="257" t="inlineStr">
        <is>
          <t xml:space="preserve">Affected Personnel / Groups</t>
        </is>
      </c>
      <c r="G351" s="254" t="inlineStr">
        <is>
          <t xml:space="preserve">People or groups to inform and train.</t>
        </is>
      </c>
      <c r="H351" s="254" t="inlineStr">
        <is>
          <t xml:space="preserve">Text</t>
        </is>
      </c>
      <c r="I351" s="254" t="inlineStr">
        <is>
          <t xml:space="preserve">Tooltip: e.g. all operators at the terminal, maintenance contractor. Create Change Communication and Training tasks.</t>
        </is>
      </c>
      <c r="J351" s="256"/>
      <c r="K351" s="256" t="inlineStr">
        <is>
          <t xml:space="preserve">A</t>
        </is>
      </c>
      <c r="L351" s="254" t="inlineStr">
        <is>
          <t xml:space="preserve">N</t>
        </is>
      </c>
      <c r="M351" s="268" t="inlineStr">
        <is>
          <t xml:space="preserve">N</t>
        </is>
      </c>
      <c r="N351" s="253" t="inlineStr">
        <is>
          <t xml:space="preserve">N</t>
        </is>
      </c>
      <c r="O351" s="268" t="inlineStr">
        <is>
          <t xml:space="preserve">Y</t>
        </is>
      </c>
      <c r="P351" s="268" t="inlineStr">
        <is>
          <t xml:space="preserve">N</t>
        </is>
      </c>
      <c r="Q351" s="253" t="inlineStr">
        <is>
          <t xml:space="preserve">N</t>
        </is>
      </c>
      <c r="R351" s="253" t="inlineStr">
        <is>
          <t xml:space="preserve">Y</t>
        </is>
      </c>
      <c r="S351" s="253" t="inlineStr">
        <is>
          <t xml:space="preserve">N</t>
        </is>
      </c>
      <c r="T351" s="253" t="inlineStr">
        <is>
          <t xml:space="preserve">Y</t>
        </is>
      </c>
      <c r="U351" s="253" t="inlineStr">
        <is>
          <t xml:space="preserve">N</t>
        </is>
      </c>
      <c r="V351" s="253" t="inlineStr">
        <is>
          <t xml:space="preserve">Y</t>
        </is>
      </c>
      <c r="W351" s="253" t="inlineStr">
        <is>
          <t xml:space="preserve">N</t>
        </is>
      </c>
      <c r="X351" s="253" t="inlineStr">
        <is>
          <t xml:space="preserve">Y</t>
        </is>
      </c>
      <c r="AA351" s="256" t="inlineStr">
        <is>
          <t xml:space="preserve">BRD FR-B3-016 (Must) / RULE-B3-10.</t>
        </is>
      </c>
    </row>
    <row r="352" ht="28.8" customHeight="1">
      <c r="A352" s="253">
        <v>20</v>
      </c>
      <c r="B352" s="255" t="inlineStr">
        <is>
          <t xml:space="preserve">Follow Up</t>
        </is>
      </c>
      <c r="C352" s="255" t="inlineStr">
        <is>
          <t xml:space="preserve">MOC</t>
        </is>
      </c>
      <c r="D352" s="255" t="inlineStr">
        <is>
          <t xml:space="preserve">Follow-Up Details</t>
        </is>
      </c>
      <c r="E352" s="257" t="inlineStr">
        <is>
          <t xml:space="preserve">Field Verification (walk-around) Completed?</t>
        </is>
      </c>
      <c r="F352" s="257" t="inlineStr">
        <is>
          <t xml:space="preserve">Field Verification (walk-around) Completed?</t>
        </is>
      </c>
      <c r="G352" s="254" t="inlineStr">
        <is>
          <t xml:space="preserve">Post-MoC field check.</t>
        </is>
      </c>
      <c r="H352" s="254" t="inlineStr">
        <is>
          <t xml:space="preserve">Yes/No</t>
        </is>
      </c>
      <c r="I352" s="254"/>
      <c r="J352" s="256"/>
      <c r="K352" s="256" t="inlineStr">
        <is>
          <t xml:space="preserve">A</t>
        </is>
      </c>
      <c r="L352" s="254" t="inlineStr">
        <is>
          <t xml:space="preserve">N</t>
        </is>
      </c>
      <c r="M352" s="268" t="inlineStr">
        <is>
          <t xml:space="preserve">N</t>
        </is>
      </c>
      <c r="N352" s="253" t="inlineStr">
        <is>
          <t xml:space="preserve">N</t>
        </is>
      </c>
      <c r="O352" s="268" t="inlineStr">
        <is>
          <t xml:space="preserve">N</t>
        </is>
      </c>
      <c r="P352" s="268" t="inlineStr">
        <is>
          <t xml:space="preserve">N</t>
        </is>
      </c>
      <c r="Q352" s="253" t="inlineStr">
        <is>
          <t xml:space="preserve">N</t>
        </is>
      </c>
      <c r="R352" s="253" t="inlineStr">
        <is>
          <t xml:space="preserve">N</t>
        </is>
      </c>
      <c r="S352" s="253" t="inlineStr">
        <is>
          <t xml:space="preserve">N</t>
        </is>
      </c>
      <c r="T352" s="253" t="inlineStr">
        <is>
          <t xml:space="preserve">N</t>
        </is>
      </c>
      <c r="U352" s="253" t="inlineStr">
        <is>
          <t xml:space="preserve">N</t>
        </is>
      </c>
      <c r="V352" s="253" t="inlineStr">
        <is>
          <t xml:space="preserve">N</t>
        </is>
      </c>
      <c r="W352" s="253" t="inlineStr">
        <is>
          <t xml:space="preserve">Y</t>
        </is>
      </c>
      <c r="X352" s="253" t="inlineStr">
        <is>
          <t xml:space="preserve">N</t>
        </is>
      </c>
      <c r="AA352" s="256" t="inlineStr">
        <is>
          <t xml:space="preserve">BRD FR-B3-012 (Must).</t>
        </is>
      </c>
    </row>
    <row r="353" ht="28.8" customHeight="1">
      <c r="A353" s="253">
        <v>21</v>
      </c>
      <c r="B353" s="255" t="inlineStr">
        <is>
          <t xml:space="preserve">Follow Up</t>
        </is>
      </c>
      <c r="C353" s="255" t="inlineStr">
        <is>
          <t xml:space="preserve">MOC</t>
        </is>
      </c>
      <c r="D353" s="255" t="inlineStr">
        <is>
          <t xml:space="preserve">Follow-Up Details</t>
        </is>
      </c>
      <c r="E353" s="257" t="inlineStr">
        <is>
          <t xml:space="preserve">Affected Personnel Interviewed / Communication Confirmed?</t>
        </is>
      </c>
      <c r="F353" s="257" t="inlineStr">
        <is>
          <t xml:space="preserve">Affected Personnel Interviewed / Communication Confirmed?</t>
        </is>
      </c>
      <c r="G353" s="254" t="inlineStr">
        <is>
          <t xml:space="preserve">Post-MoC communication check.</t>
        </is>
      </c>
      <c r="H353" s="254" t="inlineStr">
        <is>
          <t xml:space="preserve">Yes/No</t>
        </is>
      </c>
      <c r="I353" s="254"/>
      <c r="J353" s="256"/>
      <c r="K353" s="256" t="inlineStr">
        <is>
          <t xml:space="preserve">A</t>
        </is>
      </c>
      <c r="L353" s="254" t="inlineStr">
        <is>
          <t xml:space="preserve">N</t>
        </is>
      </c>
      <c r="M353" s="268" t="inlineStr">
        <is>
          <t xml:space="preserve">N</t>
        </is>
      </c>
      <c r="N353" s="253" t="inlineStr">
        <is>
          <t xml:space="preserve">N</t>
        </is>
      </c>
      <c r="O353" s="268" t="inlineStr">
        <is>
          <t xml:space="preserve">N</t>
        </is>
      </c>
      <c r="P353" s="268" t="inlineStr">
        <is>
          <t xml:space="preserve">N</t>
        </is>
      </c>
      <c r="Q353" s="253" t="inlineStr">
        <is>
          <t xml:space="preserve">N</t>
        </is>
      </c>
      <c r="R353" s="253" t="inlineStr">
        <is>
          <t xml:space="preserve">N</t>
        </is>
      </c>
      <c r="S353" s="253" t="inlineStr">
        <is>
          <t xml:space="preserve">N</t>
        </is>
      </c>
      <c r="T353" s="253" t="inlineStr">
        <is>
          <t xml:space="preserve">N</t>
        </is>
      </c>
      <c r="U353" s="253" t="inlineStr">
        <is>
          <t xml:space="preserve">N</t>
        </is>
      </c>
      <c r="V353" s="253" t="inlineStr">
        <is>
          <t xml:space="preserve">N</t>
        </is>
      </c>
      <c r="W353" s="253" t="inlineStr">
        <is>
          <t xml:space="preserve">Y</t>
        </is>
      </c>
      <c r="X353" s="253" t="inlineStr">
        <is>
          <t xml:space="preserve">N</t>
        </is>
      </c>
      <c r="AA353" s="256" t="inlineStr">
        <is>
          <t xml:space="preserve">BRD FR-B3-012 (Must).</t>
        </is>
      </c>
    </row>
    <row r="354" ht="28.8" customHeight="1">
      <c r="A354" s="253">
        <v>22</v>
      </c>
      <c r="B354" s="255" t="inlineStr">
        <is>
          <t xml:space="preserve">Follow Up</t>
        </is>
      </c>
      <c r="C354" s="255" t="inlineStr">
        <is>
          <t xml:space="preserve">MOC</t>
        </is>
      </c>
      <c r="D354" s="255" t="inlineStr">
        <is>
          <t xml:space="preserve">Follow-Up Details</t>
        </is>
      </c>
      <c r="E354" s="257" t="inlineStr">
        <is>
          <t xml:space="preserve">Downstream &amp; Cumulative Impacts Reviewed?</t>
        </is>
      </c>
      <c r="F354" s="257" t="inlineStr">
        <is>
          <t xml:space="preserve">Downstream &amp; Cumulative Impacts Reviewed?</t>
        </is>
      </c>
      <c r="G354" s="254" t="inlineStr">
        <is>
          <t xml:space="preserve">Post-MoC impact review.</t>
        </is>
      </c>
      <c r="H354" s="254" t="inlineStr">
        <is>
          <t xml:space="preserve">Yes/No</t>
        </is>
      </c>
      <c r="I354" s="254"/>
      <c r="J354" s="256"/>
      <c r="K354" s="256" t="inlineStr">
        <is>
          <t xml:space="preserve">A</t>
        </is>
      </c>
      <c r="L354" s="254" t="inlineStr">
        <is>
          <t xml:space="preserve">N</t>
        </is>
      </c>
      <c r="M354" s="268" t="inlineStr">
        <is>
          <t xml:space="preserve">N</t>
        </is>
      </c>
      <c r="N354" s="253" t="inlineStr">
        <is>
          <t xml:space="preserve">N</t>
        </is>
      </c>
      <c r="O354" s="268" t="inlineStr">
        <is>
          <t xml:space="preserve">N</t>
        </is>
      </c>
      <c r="P354" s="268" t="inlineStr">
        <is>
          <t xml:space="preserve">N</t>
        </is>
      </c>
      <c r="Q354" s="253" t="inlineStr">
        <is>
          <t xml:space="preserve">N</t>
        </is>
      </c>
      <c r="R354" s="253" t="inlineStr">
        <is>
          <t xml:space="preserve">N</t>
        </is>
      </c>
      <c r="S354" s="253" t="inlineStr">
        <is>
          <t xml:space="preserve">N</t>
        </is>
      </c>
      <c r="T354" s="253" t="inlineStr">
        <is>
          <t xml:space="preserve">N</t>
        </is>
      </c>
      <c r="U354" s="253" t="inlineStr">
        <is>
          <t xml:space="preserve">N</t>
        </is>
      </c>
      <c r="V354" s="253" t="inlineStr">
        <is>
          <t xml:space="preserve">N</t>
        </is>
      </c>
      <c r="W354" s="253" t="inlineStr">
        <is>
          <t xml:space="preserve">Y</t>
        </is>
      </c>
      <c r="X354" s="253" t="inlineStr">
        <is>
          <t xml:space="preserve">N</t>
        </is>
      </c>
      <c r="AA354" s="256" t="inlineStr">
        <is>
          <t xml:space="preserve">BRD FR-B3-012 (Must).</t>
        </is>
      </c>
    </row>
  </sheetData>
  <phoneticPr fontId="24" type="noConversion"/>
  <conditionalFormatting sqref="A314:A327">
    <cfRule type="expression" dxfId="1349" priority="48">
      <formula>$J314="A"</formula>
    </cfRule>
    <cfRule type="expression" dxfId="1348" priority="49">
      <formula>$J314="M"</formula>
    </cfRule>
    <cfRule type="expression" dxfId="1347" priority="50">
      <formula>$J314="R"</formula>
    </cfRule>
  </conditionalFormatting>
  <conditionalFormatting sqref="A70:B70 C70:G71 H70:I72 D70:F81 K70:K81 B71:B72 A71:A81 C72:F72 B73:F77 H73:H77 H78:I78 B78:G79 C80:G81 A84:B84 C84:G85 H84:I86 D84:F94 K84:K94 B85:B86 A85:A94 C86:F86 B87:F91 H87:H91 H92:I92 B92:G94 I93:I94 H170:I173 A171:D178 E174:G175 E176:F176 E177:G178 H178:I178 H183:I184 E196:I196 A201:A202 H201:I202 G283:G293 G300:G310">
    <cfRule type="expression" dxfId="1346" priority="1883">
      <formula>$J70="R"</formula>
    </cfRule>
  </conditionalFormatting>
  <conditionalFormatting sqref="A70:B70 C70:G71 H70:I72 D70:F81 K70:K81 B71:B72 A71:A81 C72:F72 B73:F77 H73:H77 H78:I78 B78:G79 C80:G81 A84:B84 C84:G85 H84:I86 D84:F94 K84:K94 B85:B86 A85:A94 C86:F86 B87:F91 H87:H91 H92:I92 B92:G94 I93:I94 H170:I173 A171:D178 E174:G175 E176:F176 E177:G178 H178:I178 H183:I184 G300:G310 A201:A202 H201:I202 G283:G293 E196:I196">
    <cfRule type="expression" dxfId="1345" priority="1882">
      <formula>$J70="M"</formula>
    </cfRule>
  </conditionalFormatting>
  <conditionalFormatting sqref="A98:G98 E99:G99 E107:G107 B108:H110 A113:G113 E114:G114 A122:I125 A128:G128 E129:G129 E136:G136 B137:H139 A142:G142 E143:G143 E150:G150 B151:G153 A156:G156 E157:G157 E164:G164 B165:G166 G283:G293 H98:I101 K98:K110 B99:D107 A99:A110 E100:F106 H107:I110 H113:I116 K113:K125 A114:D115 E115:F115 A116:F121 H128:I130 K128:K139 B129:D136 A129:A139 E130:F135 H136:I139 H142:I144 K142:K153 B143:D150 A143:A153 E144:F149 H150:I153 H156:I158 K156:K166 B157:D164 A157:A166 E158:F163 H164:I166 A201:A202 H201:I202 G300:G310">
    <cfRule type="expression" dxfId="1344" priority="889">
      <formula>$J98="A"</formula>
    </cfRule>
  </conditionalFormatting>
  <conditionalFormatting sqref="A98:G98 H98:I101 K98:K110 E99:G99 B99:D107 A99:A110 E100:F106 E107:G107 H107:I110 B108:H110 A113:G113 H113:I116 K113:K125 E114:G114 A114:D115 E115:F115 A116:F121 A122:I125 A128:G128 H128:I130 K128:K139 E129:G129 B129:D136 A129:A139 E130:F135 E136:G136 H136:I139 B137:H139 A142:G142 H142:I144 K142:K153 E143:G143 B143:D150 A143:A153 E144:F149 E150:G150 H150:I153 B151:G153 A156:G156 H156:I158 K156:K166 E157:G157 B157:D164 A157:A166 E158:F163 E164:G164 H164:I166 B165:G166">
    <cfRule type="expression" dxfId="1343" priority="891">
      <formula>$J98="R"</formula>
    </cfRule>
    <cfRule type="expression" dxfId="1342" priority="890">
      <formula>$J98="M"</formula>
    </cfRule>
  </conditionalFormatting>
  <conditionalFormatting sqref="A170:G170 E171:G171 E172:F173 E183:G183 B184:G184 A297:A310 D298:D310">
    <cfRule type="expression" dxfId="1341" priority="775">
      <formula>$J170="A"</formula>
    </cfRule>
    <cfRule type="expression" dxfId="1340" priority="777">
      <formula>$J170="R"</formula>
    </cfRule>
    <cfRule type="expression" dxfId="1339" priority="776">
      <formula>$J170="M"</formula>
    </cfRule>
  </conditionalFormatting>
  <conditionalFormatting sqref="A188:G188 E189:G189 E190:F195 B201:G202 A206:G206 E207:G207 B207:D214 E208:F213 B219:G220 A224:G224 E225:G225 B225:D232 E226:F231 B237:G238 A242:G242 E243:G243 B243:D250 E244:F249 B255:G256 A260:G260 E261:G261 B261:D268 E262:F267 A273:I278">
    <cfRule type="expression" dxfId="1338" priority="739">
      <formula>$J188="A"</formula>
    </cfRule>
    <cfRule type="expression" dxfId="1337" priority="740">
      <formula>$J188="M"</formula>
    </cfRule>
    <cfRule type="expression" dxfId="1336" priority="741">
      <formula>$J188="R"</formula>
    </cfRule>
  </conditionalFormatting>
  <conditionalFormatting sqref="A59:I66 K59:K66">
    <cfRule type="expression" dxfId="1335" priority="1884">
      <formula>$K59="A"</formula>
    </cfRule>
    <cfRule type="expression" dxfId="1334" priority="1885">
      <formula>$K59="M"</formula>
    </cfRule>
    <cfRule type="expression" dxfId="1333" priority="1886">
      <formula>$K59="R"</formula>
    </cfRule>
  </conditionalFormatting>
  <conditionalFormatting sqref="A4:J4 M14:N21 M69:N69 O69:R80 M70:M76 M77:N80 M81:P81 M178:P178 M183:P184 N70:N73 N76">
    <cfRule type="expression" dxfId="1332" priority="1858">
      <formula>#REF!="R"</formula>
    </cfRule>
  </conditionalFormatting>
  <conditionalFormatting sqref="A4:J4 M14:N21 M69:N69 O69:R80 N70:N73 M70:M76 N76 M77:N80 M81:P81 M178:P178 M183:P184 E5:E14 A5:A54">
    <cfRule type="expression" dxfId="1331" priority="1859">
      <formula>#REF!="A"</formula>
    </cfRule>
  </conditionalFormatting>
  <conditionalFormatting sqref="A69:J69 J19:J20">
    <cfRule type="expression" dxfId="1330" priority="956">
      <formula>#REF!="R"</formula>
    </cfRule>
  </conditionalFormatting>
  <conditionalFormatting sqref="A83:J83">
    <cfRule type="expression" dxfId="1329" priority="933">
      <formula>#REF!="A"</formula>
    </cfRule>
    <cfRule type="expression" dxfId="1328" priority="932">
      <formula>#REF!="R"</formula>
    </cfRule>
  </conditionalFormatting>
  <conditionalFormatting sqref="A97:J97">
    <cfRule type="expression" dxfId="1327" priority="882">
      <formula>#REF!="R"</formula>
    </cfRule>
    <cfRule type="expression" dxfId="1326" priority="883">
      <formula>#REF!="A"</formula>
    </cfRule>
  </conditionalFormatting>
  <conditionalFormatting sqref="A112:J112">
    <cfRule type="expression" dxfId="1325" priority="858">
      <formula>#REF!="A"</formula>
    </cfRule>
    <cfRule type="expression" dxfId="1324" priority="857">
      <formula>#REF!="R"</formula>
    </cfRule>
  </conditionalFormatting>
  <conditionalFormatting sqref="A127:J127">
    <cfRule type="expression" dxfId="1323" priority="837">
      <formula>#REF!="R"</formula>
    </cfRule>
    <cfRule type="expression" dxfId="1322" priority="838">
      <formula>#REF!="A"</formula>
    </cfRule>
  </conditionalFormatting>
  <conditionalFormatting sqref="A141:J141">
    <cfRule type="expression" dxfId="1321" priority="818">
      <formula>#REF!="A"</formula>
    </cfRule>
    <cfRule type="expression" dxfId="1320" priority="817">
      <formula>#REF!="R"</formula>
    </cfRule>
  </conditionalFormatting>
  <conditionalFormatting sqref="A155:J155">
    <cfRule type="expression" dxfId="1319" priority="792">
      <formula>#REF!="A"</formula>
    </cfRule>
    <cfRule type="expression" dxfId="1318" priority="791">
      <formula>#REF!="R"</formula>
    </cfRule>
  </conditionalFormatting>
  <conditionalFormatting sqref="A169:J169">
    <cfRule type="expression" dxfId="1317" priority="764">
      <formula>#REF!="A"</formula>
    </cfRule>
    <cfRule type="expression" dxfId="1316" priority="763">
      <formula>#REF!="R"</formula>
    </cfRule>
  </conditionalFormatting>
  <conditionalFormatting sqref="A187:J187">
    <cfRule type="expression" dxfId="1315" priority="730">
      <formula>#REF!="A"</formula>
    </cfRule>
    <cfRule type="expression" dxfId="1314" priority="729">
      <formula>#REF!="R"</formula>
    </cfRule>
  </conditionalFormatting>
  <conditionalFormatting sqref="A205:J205">
    <cfRule type="expression" dxfId="1313" priority="704">
      <formula>#REF!="A"</formula>
    </cfRule>
    <cfRule type="expression" dxfId="1312" priority="703">
      <formula>#REF!="R"</formula>
    </cfRule>
  </conditionalFormatting>
  <conditionalFormatting sqref="A223:J223">
    <cfRule type="expression" dxfId="1311" priority="678">
      <formula>#REF!="A"</formula>
    </cfRule>
    <cfRule type="expression" dxfId="1310" priority="677">
      <formula>#REF!="R"</formula>
    </cfRule>
  </conditionalFormatting>
  <conditionalFormatting sqref="A241:J241">
    <cfRule type="expression" dxfId="1309" priority="654">
      <formula>#REF!="R"</formula>
    </cfRule>
    <cfRule type="expression" dxfId="1308" priority="655">
      <formula>#REF!="A"</formula>
    </cfRule>
  </conditionalFormatting>
  <conditionalFormatting sqref="A259:J259">
    <cfRule type="expression" dxfId="1307" priority="632">
      <formula>#REF!="A"</formula>
    </cfRule>
    <cfRule type="expression" dxfId="1306" priority="631">
      <formula>#REF!="R"</formula>
    </cfRule>
  </conditionalFormatting>
  <conditionalFormatting sqref="A281:M281 B282:I282 A282:A293 K282:M293 H283:H285 B283:F293 H286:I286 H287:H293 B297:B310 K298:K310 E299:F306 H299:H310 E309:F310">
    <cfRule type="expression" dxfId="1305" priority="1904">
      <formula>#REF!="R"</formula>
    </cfRule>
    <cfRule type="expression" dxfId="1304" priority="1902">
      <formula>#REF!="A"</formula>
    </cfRule>
    <cfRule type="expression" dxfId="1303" priority="1903">
      <formula>#REF!="M"</formula>
    </cfRule>
  </conditionalFormatting>
  <conditionalFormatting sqref="A3:S3">
    <cfRule type="expression" dxfId="1302" priority="1807">
      <formula>$J3="R"</formula>
    </cfRule>
    <cfRule type="expression" dxfId="1301" priority="1809">
      <formula>$J3="A"</formula>
    </cfRule>
  </conditionalFormatting>
  <conditionalFormatting sqref="B80:B81">
    <cfRule type="expression" dxfId="1300" priority="1861">
      <formula>$J80="M"</formula>
    </cfRule>
    <cfRule type="expression" dxfId="1299" priority="1862">
      <formula>$J80="R"</formula>
    </cfRule>
  </conditionalFormatting>
  <conditionalFormatting sqref="B314:B327 K315:K327 E316:F323 H316:H327 E326:F327">
    <cfRule type="expression" dxfId="1298" priority="63">
      <formula>#REF!="R"</formula>
    </cfRule>
    <cfRule type="expression" dxfId="1297" priority="62">
      <formula>#REF!="M"</formula>
    </cfRule>
    <cfRule type="expression" dxfId="1296" priority="61">
      <formula>#REF!="A"</formula>
    </cfRule>
  </conditionalFormatting>
  <conditionalFormatting sqref="B80:G81">
    <cfRule type="expression" dxfId="1295" priority="1860">
      <formula>$J80="A"</formula>
    </cfRule>
  </conditionalFormatting>
  <conditionalFormatting sqref="C70:G71 B78:G79 E174:G175 C84:G85 B92:G94 E177:G178 A70:B70 H70:I72 D70:F81 K70:K81 B71:B72 A71:A81 C72:F72 B73:F77 H73:H77 H78:I78 A84:B84 H84:I86 D84:F94 K84:K94 B85:B86 A85:A94 C86:F86 B87:F91 H87:H91 H92:I92 I93:I94 H170:I173 A171:D178 E176:F176 H178:I178 H183:I184">
    <cfRule type="expression" dxfId="1294" priority="1881">
      <formula>$J70="A"</formula>
    </cfRule>
  </conditionalFormatting>
  <conditionalFormatting sqref="C314:M314 C315:D327">
    <cfRule type="expression" dxfId="1293" priority="1869">
      <formula>$J314="A"</formula>
    </cfRule>
    <cfRule type="expression" dxfId="1292" priority="1870">
      <formula>$J314="M"</formula>
    </cfRule>
    <cfRule type="expression" dxfId="1291" priority="1871">
      <formula>$J314="R"</formula>
    </cfRule>
  </conditionalFormatting>
  <conditionalFormatting sqref="D5:D25">
    <cfRule type="expression" dxfId="1290" priority="1646">
      <formula>#REF!="R"</formula>
    </cfRule>
    <cfRule type="expression" dxfId="1289" priority="1645">
      <formula>#REF!="A"</formula>
    </cfRule>
  </conditionalFormatting>
  <conditionalFormatting sqref="D28:D47 G201:G202">
    <cfRule type="expression" dxfId="1288" priority="1634">
      <formula>#REF!="R"</formula>
    </cfRule>
  </conditionalFormatting>
  <conditionalFormatting sqref="D179:D183">
    <cfRule type="expression" dxfId="1287" priority="324">
      <formula>$J179="M"</formula>
    </cfRule>
    <cfRule type="expression" dxfId="1286" priority="325">
      <formula>$J179="R"</formula>
    </cfRule>
    <cfRule type="expression" dxfId="1285" priority="323">
      <formula>$J179="A"</formula>
    </cfRule>
  </conditionalFormatting>
  <conditionalFormatting sqref="D189:D200">
    <cfRule type="expression" dxfId="1284" priority="306">
      <formula>$J189="R"</formula>
    </cfRule>
    <cfRule type="expression" dxfId="1283" priority="304">
      <formula>$J189="A"</formula>
    </cfRule>
    <cfRule type="expression" dxfId="1282" priority="305">
      <formula>$J189="M"</formula>
    </cfRule>
  </conditionalFormatting>
  <conditionalFormatting sqref="D215:D218">
    <cfRule type="expression" dxfId="1281" priority="286">
      <formula>$J215="M"</formula>
    </cfRule>
    <cfRule type="expression" dxfId="1280" priority="287">
      <formula>$J215="R"</formula>
    </cfRule>
    <cfRule type="expression" dxfId="1279" priority="285">
      <formula>$J215="A"</formula>
    </cfRule>
  </conditionalFormatting>
  <conditionalFormatting sqref="D233:D236">
    <cfRule type="expression" dxfId="1278" priority="268">
      <formula>$J233="R"</formula>
    </cfRule>
    <cfRule type="expression" dxfId="1277" priority="267">
      <formula>$J233="M"</formula>
    </cfRule>
    <cfRule type="expression" dxfId="1276" priority="266">
      <formula>$J233="A"</formula>
    </cfRule>
  </conditionalFormatting>
  <conditionalFormatting sqref="D251:D254">
    <cfRule type="expression" dxfId="1275" priority="249">
      <formula>$J251="R"</formula>
    </cfRule>
    <cfRule type="expression" dxfId="1274" priority="247">
      <formula>$J251="A"</formula>
    </cfRule>
    <cfRule type="expression" dxfId="1273" priority="248">
      <formula>$J251="M"</formula>
    </cfRule>
  </conditionalFormatting>
  <conditionalFormatting sqref="D269:D272">
    <cfRule type="expression" dxfId="1272" priority="228">
      <formula>$J269="A"</formula>
    </cfRule>
    <cfRule type="expression" dxfId="1271" priority="229">
      <formula>$J269="M"</formula>
    </cfRule>
    <cfRule type="expression" dxfId="1270" priority="230">
      <formula>$J269="R"</formula>
    </cfRule>
  </conditionalFormatting>
  <conditionalFormatting sqref="D297:J297">
    <cfRule type="expression" dxfId="1269" priority="1872">
      <formula>$J297="A"</formula>
    </cfRule>
    <cfRule type="expression" dxfId="1268" priority="1873">
      <formula>$J297="M"</formula>
    </cfRule>
    <cfRule type="expression" dxfId="1267" priority="1874">
      <formula>$J297="R"</formula>
    </cfRule>
  </conditionalFormatting>
  <conditionalFormatting sqref="E280:F280">
    <cfRule type="expression" dxfId="1266" priority="139">
      <formula>#REF!="R"</formula>
    </cfRule>
    <cfRule type="expression" dxfId="1265" priority="140">
      <formula>#REF!="A"</formula>
    </cfRule>
  </conditionalFormatting>
  <conditionalFormatting sqref="E296:F296">
    <cfRule type="expression" dxfId="1264" priority="115">
      <formula>#REF!="A"</formula>
    </cfRule>
    <cfRule type="expression" dxfId="1263" priority="114">
      <formula>#REF!="R"</formula>
    </cfRule>
  </conditionalFormatting>
  <conditionalFormatting sqref="E307:F308">
    <cfRule type="expression" dxfId="1262" priority="78">
      <formula>$J307="R"</formula>
    </cfRule>
    <cfRule type="expression" dxfId="1261" priority="77">
      <formula>$J307="M"</formula>
    </cfRule>
    <cfRule type="expression" dxfId="1260" priority="76">
      <formula>$J307="A"</formula>
    </cfRule>
  </conditionalFormatting>
  <conditionalFormatting sqref="E313:F313">
    <cfRule type="expression" dxfId="1259" priority="69">
      <formula>#REF!="R"</formula>
    </cfRule>
    <cfRule type="expression" dxfId="1258" priority="70">
      <formula>#REF!="A"</formula>
    </cfRule>
  </conditionalFormatting>
  <conditionalFormatting sqref="E324:F325">
    <cfRule type="expression" dxfId="1257" priority="28">
      <formula>$J324="R"</formula>
    </cfRule>
    <cfRule type="expression" dxfId="1256" priority="27">
      <formula>$J324="M"</formula>
    </cfRule>
    <cfRule type="expression" dxfId="1255" priority="26">
      <formula>$J324="A"</formula>
    </cfRule>
  </conditionalFormatting>
  <conditionalFormatting sqref="E179:I182 K170:K184 A179:C179 B180:C183 A180:A184">
    <cfRule type="expression" dxfId="1254" priority="333">
      <formula>$J170="A"</formula>
    </cfRule>
  </conditionalFormatting>
  <conditionalFormatting sqref="E196:I200 K188:K202 A189:C200">
    <cfRule type="expression" dxfId="1253" priority="314">
      <formula>$J188="A"</formula>
    </cfRule>
  </conditionalFormatting>
  <conditionalFormatting sqref="E214:I218 K206:K220 A215:C218">
    <cfRule type="expression" dxfId="1252" priority="295">
      <formula>$J206="A"</formula>
    </cfRule>
  </conditionalFormatting>
  <conditionalFormatting sqref="E232:I236 K224:K238 A233:C236">
    <cfRule type="expression" dxfId="1251" priority="276">
      <formula>$J224="A"</formula>
    </cfRule>
  </conditionalFormatting>
  <conditionalFormatting sqref="E250:I254 K242:K256 A251:C254">
    <cfRule type="expression" dxfId="1250" priority="257">
      <formula>$J242="A"</formula>
    </cfRule>
  </conditionalFormatting>
  <conditionalFormatting sqref="E268:I272 K260:K272 A269:C272">
    <cfRule type="expression" dxfId="1249" priority="238">
      <formula>$J260="A"</formula>
    </cfRule>
  </conditionalFormatting>
  <conditionalFormatting sqref="E298:I298">
    <cfRule type="expression" dxfId="1248" priority="102">
      <formula>#REF!="R"</formula>
    </cfRule>
    <cfRule type="expression" dxfId="1247" priority="101">
      <formula>#REF!="M"</formula>
    </cfRule>
    <cfRule type="expression" dxfId="1246" priority="100">
      <formula>#REF!="A"</formula>
    </cfRule>
  </conditionalFormatting>
  <conditionalFormatting sqref="E315:I315">
    <cfRule type="expression" dxfId="1245" priority="43">
      <formula>#REF!="M"</formula>
    </cfRule>
    <cfRule type="expression" dxfId="1244" priority="44">
      <formula>#REF!="R"</formula>
    </cfRule>
    <cfRule type="expression" dxfId="1243" priority="42">
      <formula>#REF!="A"</formula>
    </cfRule>
  </conditionalFormatting>
  <conditionalFormatting sqref="F5:F14">
    <cfRule type="expression" dxfId="1242" priority="20">
      <formula>#REF!="A"</formula>
    </cfRule>
    <cfRule type="expression" dxfId="1241" priority="19">
      <formula>#REF!="R"</formula>
    </cfRule>
  </conditionalFormatting>
  <conditionalFormatting sqref="G5:G12">
    <cfRule type="expression" dxfId="1240" priority="1849">
      <formula>#REF!="A"</formula>
    </cfRule>
    <cfRule type="expression" dxfId="1239" priority="1816">
      <formula>#REF!="R"</formula>
    </cfRule>
    <cfRule type="expression" dxfId="1238" priority="1817">
      <formula>#REF!="A"</formula>
    </cfRule>
    <cfRule type="expression" dxfId="1237" priority="1818">
      <formula>#REF!="R"</formula>
    </cfRule>
    <cfRule type="expression" dxfId="1236" priority="1819">
      <formula>#REF!="A"</formula>
    </cfRule>
    <cfRule type="expression" dxfId="1235" priority="1848">
      <formula>#REF!="R"</formula>
    </cfRule>
    <cfRule type="expression" dxfId="1234" priority="1812">
      <formula>#REF!="R"</formula>
    </cfRule>
    <cfRule type="expression" dxfId="1233" priority="1813">
      <formula>#REF!="A"</formula>
    </cfRule>
    <cfRule type="expression" dxfId="1232" priority="1822">
      <formula>#REF!="R"</formula>
    </cfRule>
    <cfRule type="expression" dxfId="1231" priority="1823">
      <formula>#REF!="A"</formula>
    </cfRule>
    <cfRule type="expression" dxfId="1230" priority="1824">
      <formula>#REF!="R"</formula>
    </cfRule>
    <cfRule type="expression" dxfId="1229" priority="1825">
      <formula>#REF!="A"</formula>
    </cfRule>
    <cfRule type="expression" dxfId="1228" priority="1828">
      <formula>#REF!="R"</formula>
    </cfRule>
    <cfRule type="expression" dxfId="1227" priority="1829">
      <formula>#REF!="A"</formula>
    </cfRule>
  </conditionalFormatting>
  <conditionalFormatting sqref="G5:G19 X5:Z12 E5:E14 J5:L18 A5:A54">
    <cfRule type="expression" dxfId="1226" priority="1771">
      <formula>#REF!="R"</formula>
    </cfRule>
  </conditionalFormatting>
  <conditionalFormatting sqref="G13">
    <cfRule type="expression" dxfId="1225" priority="1760">
      <formula>#REF!="A"</formula>
    </cfRule>
    <cfRule type="expression" dxfId="1224" priority="1770">
      <formula>#REF!="A"</formula>
    </cfRule>
    <cfRule type="expression" dxfId="1223" priority="1769">
      <formula>#REF!="R"</formula>
    </cfRule>
    <cfRule type="expression" dxfId="1222" priority="1761">
      <formula>#REF!="R"</formula>
    </cfRule>
    <cfRule type="expression" dxfId="1221" priority="1762">
      <formula>#REF!="A"</formula>
    </cfRule>
    <cfRule type="expression" dxfId="1220" priority="1757">
      <formula>#REF!="R"</formula>
    </cfRule>
    <cfRule type="expression" dxfId="1219" priority="1759">
      <formula>#REF!="R"</formula>
    </cfRule>
    <cfRule type="expression" dxfId="1218" priority="1763">
      <formula>#REF!="R"</formula>
    </cfRule>
    <cfRule type="expression" dxfId="1217" priority="1764">
      <formula>#REF!="A"</formula>
    </cfRule>
    <cfRule type="expression" dxfId="1216" priority="1765">
      <formula>#REF!="R"</formula>
    </cfRule>
    <cfRule type="expression" dxfId="1215" priority="1766">
      <formula>#REF!="A"</formula>
    </cfRule>
    <cfRule type="expression" dxfId="1214" priority="1767">
      <formula>#REF!="R"</formula>
    </cfRule>
    <cfRule type="expression" dxfId="1213" priority="1768">
      <formula>#REF!="A"</formula>
    </cfRule>
    <cfRule type="expression" dxfId="1212" priority="1758">
      <formula>#REF!="A"</formula>
    </cfRule>
  </conditionalFormatting>
  <conditionalFormatting sqref="G14:G18">
    <cfRule type="expression" dxfId="1211" priority="1841">
      <formula>#REF!="A"</formula>
    </cfRule>
    <cfRule type="expression" dxfId="1210" priority="1840">
      <formula>#REF!="R"</formula>
    </cfRule>
  </conditionalFormatting>
  <conditionalFormatting sqref="G14:G19 G27:G28">
    <cfRule type="expression" dxfId="1209" priority="1847">
      <formula>#REF!="A"</formula>
    </cfRule>
  </conditionalFormatting>
  <conditionalFormatting sqref="G15 G17:G18">
    <cfRule type="expression" dxfId="1208" priority="1815">
      <formula>#REF!="A"</formula>
    </cfRule>
    <cfRule type="expression" dxfId="1207" priority="1814">
      <formula>#REF!="R"</formula>
    </cfRule>
  </conditionalFormatting>
  <conditionalFormatting sqref="G15:G19 G21 G23:G24 G27:G28">
    <cfRule type="expression" dxfId="1206" priority="1839">
      <formula>#REF!="A"</formula>
    </cfRule>
  </conditionalFormatting>
  <conditionalFormatting sqref="G15:G19 G21 G23:G24">
    <cfRule type="expression" dxfId="1205" priority="1853">
      <formula>#REF!="A"</formula>
    </cfRule>
  </conditionalFormatting>
  <conditionalFormatting sqref="G15:G19 G23:G24 G27:G28 G21">
    <cfRule type="expression" dxfId="1204" priority="1838">
      <formula>#REF!="R"</formula>
    </cfRule>
  </conditionalFormatting>
  <conditionalFormatting sqref="G15:G19">
    <cfRule type="expression" dxfId="1203" priority="1821">
      <formula>#REF!="A"</formula>
    </cfRule>
    <cfRule type="expression" dxfId="1202" priority="1820">
      <formula>#REF!="R"</formula>
    </cfRule>
  </conditionalFormatting>
  <conditionalFormatting sqref="G16">
    <cfRule type="expression" dxfId="1201" priority="1837">
      <formula>#REF!="A"</formula>
    </cfRule>
    <cfRule type="expression" dxfId="1200" priority="1836">
      <formula>#REF!="R"</formula>
    </cfRule>
  </conditionalFormatting>
  <conditionalFormatting sqref="G20">
    <cfRule type="expression" dxfId="1199" priority="1649">
      <formula>#REF!="R"</formula>
    </cfRule>
    <cfRule type="expression" dxfId="1198" priority="1650">
      <formula>#REF!="A"</formula>
    </cfRule>
    <cfRule type="expression" dxfId="1197" priority="1651">
      <formula>#REF!="R"</formula>
    </cfRule>
    <cfRule type="expression" dxfId="1196" priority="1653">
      <formula>#REF!="R"</formula>
    </cfRule>
    <cfRule type="expression" dxfId="1195" priority="1654">
      <formula>#REF!="A"</formula>
    </cfRule>
    <cfRule type="expression" dxfId="1194" priority="1655">
      <formula>#REF!="R"</formula>
    </cfRule>
    <cfRule type="expression" dxfId="1193" priority="1652">
      <formula>#REF!="A"</formula>
    </cfRule>
    <cfRule type="expression" dxfId="1192" priority="1656">
      <formula>#REF!="A"</formula>
    </cfRule>
  </conditionalFormatting>
  <conditionalFormatting sqref="G21:G26">
    <cfRule type="expression" dxfId="1191" priority="1779">
      <formula>#REF!="R"</formula>
    </cfRule>
    <cfRule type="expression" dxfId="1190" priority="1780">
      <formula>#REF!="A"</formula>
    </cfRule>
  </conditionalFormatting>
  <conditionalFormatting sqref="G22">
    <cfRule type="expression" dxfId="1189" priority="1775">
      <formula>#REF!="R"</formula>
    </cfRule>
    <cfRule type="expression" dxfId="1188" priority="1774">
      <formula>#REF!="A"</formula>
    </cfRule>
    <cfRule type="expression" dxfId="1187" priority="1776">
      <formula>#REF!="A"</formula>
    </cfRule>
    <cfRule type="expression" dxfId="1186" priority="1778">
      <formula>#REF!="A"</formula>
    </cfRule>
    <cfRule type="expression" dxfId="1185" priority="1773">
      <formula>#REF!="R"</formula>
    </cfRule>
    <cfRule type="expression" dxfId="1184" priority="1777">
      <formula>#REF!="R"</formula>
    </cfRule>
  </conditionalFormatting>
  <conditionalFormatting sqref="G23:G24 G15:G19 G21">
    <cfRule type="expression" dxfId="1183" priority="1852">
      <formula>#REF!="R"</formula>
    </cfRule>
  </conditionalFormatting>
  <conditionalFormatting sqref="G23:G24">
    <cfRule type="expression" dxfId="1182" priority="1835">
      <formula>#REF!="A"</formula>
    </cfRule>
    <cfRule type="expression" dxfId="1181" priority="1844">
      <formula>#REF!="R"</formula>
    </cfRule>
    <cfRule type="expression" dxfId="1180" priority="1850">
      <formula>#REF!="R"</formula>
    </cfRule>
    <cfRule type="expression" dxfId="1179" priority="1845">
      <formula>#REF!="A"</formula>
    </cfRule>
    <cfRule type="expression" dxfId="1178" priority="1851">
      <formula>#REF!="A"</formula>
    </cfRule>
    <cfRule type="expression" dxfId="1177" priority="1834">
      <formula>#REF!="R"</formula>
    </cfRule>
  </conditionalFormatting>
  <conditionalFormatting sqref="G23:G26">
    <cfRule type="expression" dxfId="1176" priority="1788">
      <formula>#REF!="A"</formula>
    </cfRule>
    <cfRule type="expression" dxfId="1175" priority="1787">
      <formula>#REF!="R"</formula>
    </cfRule>
  </conditionalFormatting>
  <conditionalFormatting sqref="G23:G28 I13:I24 E15:F23">
    <cfRule type="expression" dxfId="1174" priority="1799">
      <formula>#REF!="R"</formula>
    </cfRule>
  </conditionalFormatting>
  <conditionalFormatting sqref="G25:G26">
    <cfRule type="expression" dxfId="1173" priority="1786">
      <formula>#REF!="A"</formula>
    </cfRule>
    <cfRule type="expression" dxfId="1172" priority="1785">
      <formula>#REF!="R"</formula>
    </cfRule>
  </conditionalFormatting>
  <conditionalFormatting sqref="G27:G28 G14:G19">
    <cfRule type="expression" dxfId="1171" priority="1846">
      <formula>#REF!="R"</formula>
    </cfRule>
  </conditionalFormatting>
  <conditionalFormatting sqref="G27:G28">
    <cfRule type="expression" dxfId="1170" priority="1842">
      <formula>#REF!="R"</formula>
    </cfRule>
    <cfRule type="expression" dxfId="1169" priority="1843">
      <formula>#REF!="A"</formula>
    </cfRule>
  </conditionalFormatting>
  <conditionalFormatting sqref="G72:G77">
    <cfRule type="expression" dxfId="1168" priority="404">
      <formula>$K72="R"</formula>
    </cfRule>
    <cfRule type="expression" dxfId="1167" priority="402">
      <formula>$K72="A"</formula>
    </cfRule>
    <cfRule type="expression" dxfId="1166" priority="403">
      <formula>$K72="M"</formula>
    </cfRule>
  </conditionalFormatting>
  <conditionalFormatting sqref="G84:G85 G92:G94">
    <cfRule type="expression" dxfId="1165" priority="900">
      <formula>#REF!="R"</formula>
    </cfRule>
    <cfRule type="expression" dxfId="1164" priority="899">
      <formula>#REF!="A"</formula>
    </cfRule>
  </conditionalFormatting>
  <conditionalFormatting sqref="G86:G91">
    <cfRule type="expression" dxfId="1163" priority="405">
      <formula>$K86="A"</formula>
    </cfRule>
    <cfRule type="expression" dxfId="1162" priority="406">
      <formula>$K86="M"</formula>
    </cfRule>
    <cfRule type="expression" dxfId="1161" priority="407">
      <formula>$K86="R"</formula>
    </cfRule>
  </conditionalFormatting>
  <conditionalFormatting sqref="G98:G99 G107:G110 J107:J110 G113:G114 G122:G125 J122:J125 G128:G129 J131:J139 G136:G139 G142:G143 J145:J153 G150:G153 G156:G157 G164:G166">
    <cfRule type="expression" dxfId="1160" priority="871">
      <formula>#REF!="A"</formula>
    </cfRule>
    <cfRule type="expression" dxfId="1159" priority="872">
      <formula>#REF!="R"</formula>
    </cfRule>
  </conditionalFormatting>
  <conditionalFormatting sqref="G100:G106">
    <cfRule type="expression" dxfId="1158" priority="410">
      <formula>$K100="R"</formula>
    </cfRule>
    <cfRule type="expression" dxfId="1157" priority="409">
      <formula>$K100="M"</formula>
    </cfRule>
    <cfRule type="expression" dxfId="1156" priority="408">
      <formula>$K100="A"</formula>
    </cfRule>
  </conditionalFormatting>
  <conditionalFormatting sqref="G115:G121">
    <cfRule type="expression" dxfId="1155" priority="413">
      <formula>$K115="R"</formula>
    </cfRule>
    <cfRule type="expression" dxfId="1154" priority="412">
      <formula>$K115="M"</formula>
    </cfRule>
    <cfRule type="expression" dxfId="1153" priority="411">
      <formula>$K115="A"</formula>
    </cfRule>
  </conditionalFormatting>
  <conditionalFormatting sqref="G130:G135">
    <cfRule type="expression" dxfId="1152" priority="414">
      <formula>$K130="A"</formula>
    </cfRule>
    <cfRule type="expression" dxfId="1151" priority="416">
      <formula>$K130="R"</formula>
    </cfRule>
    <cfRule type="expression" dxfId="1150" priority="415">
      <formula>$K130="M"</formula>
    </cfRule>
  </conditionalFormatting>
  <conditionalFormatting sqref="G144:G149">
    <cfRule type="expression" dxfId="1149" priority="418">
      <formula>$K144="M"</formula>
    </cfRule>
    <cfRule type="expression" dxfId="1148" priority="419">
      <formula>$K144="R"</formula>
    </cfRule>
    <cfRule type="expression" dxfId="1147" priority="417">
      <formula>$K144="A"</formula>
    </cfRule>
  </conditionalFormatting>
  <conditionalFormatting sqref="G158:G163">
    <cfRule type="expression" dxfId="1146" priority="422">
      <formula>$K158="R"</formula>
    </cfRule>
    <cfRule type="expression" dxfId="1145" priority="421">
      <formula>$K158="M"</formula>
    </cfRule>
    <cfRule type="expression" dxfId="1144" priority="420">
      <formula>$K158="A"</formula>
    </cfRule>
  </conditionalFormatting>
  <conditionalFormatting sqref="G176">
    <cfRule type="expression" dxfId="1143" priority="473">
      <formula>$K176="R"</formula>
    </cfRule>
    <cfRule type="expression" dxfId="1142" priority="472">
      <formula>$K176="M"</formula>
    </cfRule>
    <cfRule type="expression" dxfId="1141" priority="471">
      <formula>$K176="A"</formula>
    </cfRule>
  </conditionalFormatting>
  <conditionalFormatting sqref="G177:G182">
    <cfRule type="expression" dxfId="1140" priority="329">
      <formula>#REF!="A"</formula>
    </cfRule>
    <cfRule type="expression" dxfId="1139" priority="330">
      <formula>#REF!="R"</formula>
    </cfRule>
  </conditionalFormatting>
  <conditionalFormatting sqref="G188:G191 G206:G209 G219:G220 G224:G227 G237:G238 G242:G245 G255:G256 G260:G263 G273:G278">
    <cfRule type="expression" dxfId="1138" priority="744">
      <formula>#REF!="R"</formula>
    </cfRule>
    <cfRule type="expression" dxfId="1137" priority="743">
      <formula>#REF!="A"</formula>
    </cfRule>
  </conditionalFormatting>
  <conditionalFormatting sqref="G192:G193 G195">
    <cfRule type="expression" dxfId="1136" priority="463">
      <formula>$J192="M"</formula>
    </cfRule>
    <cfRule type="expression" dxfId="1135" priority="462">
      <formula>$J192="A"</formula>
    </cfRule>
    <cfRule type="expression" dxfId="1134" priority="464">
      <formula>$J192="R"</formula>
    </cfRule>
  </conditionalFormatting>
  <conditionalFormatting sqref="G192:G193 G195:G196">
    <cfRule type="expression" dxfId="1133" priority="461">
      <formula>#REF!="R"</formula>
    </cfRule>
  </conditionalFormatting>
  <conditionalFormatting sqref="G192:G193">
    <cfRule type="expression" dxfId="1132" priority="460">
      <formula>#REF!="A"</formula>
    </cfRule>
  </conditionalFormatting>
  <conditionalFormatting sqref="G194">
    <cfRule type="expression" dxfId="1131" priority="451">
      <formula>$K194="M"</formula>
    </cfRule>
    <cfRule type="expression" dxfId="1130" priority="450">
      <formula>$K194="A"</formula>
    </cfRule>
    <cfRule type="expression" dxfId="1129" priority="452">
      <formula>$K194="R"</formula>
    </cfRule>
  </conditionalFormatting>
  <conditionalFormatting sqref="G195:G200">
    <cfRule type="expression" dxfId="1128" priority="310">
      <formula>#REF!="A"</formula>
    </cfRule>
  </conditionalFormatting>
  <conditionalFormatting sqref="G197:G200">
    <cfRule type="expression" dxfId="1127" priority="311">
      <formula>#REF!="R"</formula>
    </cfRule>
  </conditionalFormatting>
  <conditionalFormatting sqref="G201:G202 D28:D47">
    <cfRule type="expression" dxfId="1126" priority="1633">
      <formula>#REF!="A"</formula>
    </cfRule>
  </conditionalFormatting>
  <conditionalFormatting sqref="G210:G211 G213">
    <cfRule type="expression" dxfId="1125" priority="443">
      <formula>$J210="R"</formula>
    </cfRule>
    <cfRule type="expression" dxfId="1124" priority="442">
      <formula>$J210="M"</formula>
    </cfRule>
    <cfRule type="expression" dxfId="1123" priority="441">
      <formula>$J210="A"</formula>
    </cfRule>
  </conditionalFormatting>
  <conditionalFormatting sqref="G210:G211">
    <cfRule type="expression" dxfId="1122" priority="440">
      <formula>#REF!="R"</formula>
    </cfRule>
    <cfRule type="expression" dxfId="1121" priority="439">
      <formula>#REF!="A"</formula>
    </cfRule>
  </conditionalFormatting>
  <conditionalFormatting sqref="G212">
    <cfRule type="expression" dxfId="1120" priority="431">
      <formula>$K212="R"</formula>
    </cfRule>
    <cfRule type="expression" dxfId="1119" priority="430">
      <formula>$K212="M"</formula>
    </cfRule>
    <cfRule type="expression" dxfId="1118" priority="429">
      <formula>$K212="A"</formula>
    </cfRule>
  </conditionalFormatting>
  <conditionalFormatting sqref="G213:G218">
    <cfRule type="expression" dxfId="1117" priority="292">
      <formula>#REF!="R"</formula>
    </cfRule>
    <cfRule type="expression" dxfId="1116" priority="291">
      <formula>#REF!="A"</formula>
    </cfRule>
  </conditionalFormatting>
  <conditionalFormatting sqref="G228:G229 G231">
    <cfRule type="expression" dxfId="1115" priority="400">
      <formula>$J228="M"</formula>
    </cfRule>
    <cfRule type="expression" dxfId="1114" priority="399">
      <formula>$J228="A"</formula>
    </cfRule>
    <cfRule type="expression" dxfId="1113" priority="401">
      <formula>$J228="R"</formula>
    </cfRule>
  </conditionalFormatting>
  <conditionalFormatting sqref="G228:G229">
    <cfRule type="expression" dxfId="1112" priority="398">
      <formula>#REF!="R"</formula>
    </cfRule>
    <cfRule type="expression" dxfId="1111" priority="397">
      <formula>#REF!="A"</formula>
    </cfRule>
  </conditionalFormatting>
  <conditionalFormatting sqref="G230">
    <cfRule type="expression" dxfId="1110" priority="387">
      <formula>$K230="A"</formula>
    </cfRule>
    <cfRule type="expression" dxfId="1109" priority="388">
      <formula>$K230="M"</formula>
    </cfRule>
    <cfRule type="expression" dxfId="1108" priority="389">
      <formula>$K230="R"</formula>
    </cfRule>
  </conditionalFormatting>
  <conditionalFormatting sqref="G231:G236">
    <cfRule type="expression" dxfId="1107" priority="273">
      <formula>#REF!="R"</formula>
    </cfRule>
    <cfRule type="expression" dxfId="1106" priority="272">
      <formula>#REF!="A"</formula>
    </cfRule>
  </conditionalFormatting>
  <conditionalFormatting sqref="G246:G247 G249">
    <cfRule type="expression" dxfId="1105" priority="378">
      <formula>$J246="A"</formula>
    </cfRule>
    <cfRule type="expression" dxfId="1104" priority="379">
      <formula>$J246="M"</formula>
    </cfRule>
    <cfRule type="expression" dxfId="1103" priority="380">
      <formula>$J246="R"</formula>
    </cfRule>
  </conditionalFormatting>
  <conditionalFormatting sqref="G246:G247">
    <cfRule type="expression" dxfId="1102" priority="376">
      <formula>#REF!="A"</formula>
    </cfRule>
    <cfRule type="expression" dxfId="1101" priority="377">
      <formula>#REF!="R"</formula>
    </cfRule>
  </conditionalFormatting>
  <conditionalFormatting sqref="G248">
    <cfRule type="expression" dxfId="1100" priority="366">
      <formula>$K248="A"</formula>
    </cfRule>
    <cfRule type="expression" dxfId="1099" priority="367">
      <formula>$K248="M"</formula>
    </cfRule>
    <cfRule type="expression" dxfId="1098" priority="368">
      <formula>$K248="R"</formula>
    </cfRule>
  </conditionalFormatting>
  <conditionalFormatting sqref="G249:G254">
    <cfRule type="expression" dxfId="1097" priority="254">
      <formula>#REF!="R"</formula>
    </cfRule>
    <cfRule type="expression" dxfId="1096" priority="253">
      <formula>#REF!="A"</formula>
    </cfRule>
  </conditionalFormatting>
  <conditionalFormatting sqref="G264:G265 G267">
    <cfRule type="expression" dxfId="1095" priority="359">
      <formula>$J264="R"</formula>
    </cfRule>
    <cfRule type="expression" dxfId="1094" priority="358">
      <formula>$J264="M"</formula>
    </cfRule>
    <cfRule type="expression" dxfId="1093" priority="357">
      <formula>$J264="A"</formula>
    </cfRule>
  </conditionalFormatting>
  <conditionalFormatting sqref="G264:G265">
    <cfRule type="expression" dxfId="1092" priority="355">
      <formula>#REF!="A"</formula>
    </cfRule>
    <cfRule type="expression" dxfId="1091" priority="356">
      <formula>#REF!="R"</formula>
    </cfRule>
  </conditionalFormatting>
  <conditionalFormatting sqref="G266">
    <cfRule type="expression" dxfId="1090" priority="346">
      <formula>$K266="M"</formula>
    </cfRule>
    <cfRule type="expression" dxfId="1089" priority="347">
      <formula>$K266="R"</formula>
    </cfRule>
    <cfRule type="expression" dxfId="1088" priority="345">
      <formula>$K266="A"</formula>
    </cfRule>
  </conditionalFormatting>
  <conditionalFormatting sqref="G267:G272">
    <cfRule type="expression" dxfId="1087" priority="235">
      <formula>#REF!="R"</formula>
    </cfRule>
    <cfRule type="expression" dxfId="1086" priority="234">
      <formula>#REF!="A"</formula>
    </cfRule>
  </conditionalFormatting>
  <conditionalFormatting sqref="G283:G293">
    <cfRule type="expression" dxfId="1085" priority="128">
      <formula>#REF!="R"</formula>
    </cfRule>
    <cfRule type="expression" dxfId="1084" priority="127">
      <formula>#REF!="A"</formula>
    </cfRule>
  </conditionalFormatting>
  <conditionalFormatting sqref="G299">
    <cfRule type="expression" dxfId="1083" priority="80">
      <formula>#REF!="M"</formula>
    </cfRule>
    <cfRule type="expression" dxfId="1082" priority="81">
      <formula>#REF!="R"</formula>
    </cfRule>
  </conditionalFormatting>
  <conditionalFormatting sqref="G299:G310">
    <cfRule type="expression" dxfId="1081" priority="79">
      <formula>#REF!="A"</formula>
    </cfRule>
  </conditionalFormatting>
  <conditionalFormatting sqref="G316">
    <cfRule type="expression" dxfId="1080" priority="31">
      <formula>#REF!="R"</formula>
    </cfRule>
    <cfRule type="expression" dxfId="1079" priority="30">
      <formula>#REF!="M"</formula>
    </cfRule>
  </conditionalFormatting>
  <conditionalFormatting sqref="G316:G327">
    <cfRule type="expression" dxfId="1078" priority="29">
      <formula>#REF!="A"</formula>
    </cfRule>
  </conditionalFormatting>
  <conditionalFormatting sqref="G317:G327">
    <cfRule type="expression" dxfId="1077" priority="57">
      <formula>$J317="R"</formula>
    </cfRule>
    <cfRule type="expression" dxfId="1076" priority="51">
      <formula>$J317="A"</formula>
    </cfRule>
    <cfRule type="expression" dxfId="1075" priority="55">
      <formula>#REF!="R"</formula>
    </cfRule>
    <cfRule type="expression" dxfId="1074" priority="56">
      <formula>$J317="M"</formula>
    </cfRule>
  </conditionalFormatting>
  <conditionalFormatting sqref="H13:H24">
    <cfRule type="expression" dxfId="1073" priority="1755">
      <formula>#REF!="R"</formula>
    </cfRule>
    <cfRule type="expression" dxfId="1072" priority="1756">
      <formula>#REF!="A"</formula>
    </cfRule>
  </conditionalFormatting>
  <conditionalFormatting sqref="H93:H94">
    <cfRule type="expression" dxfId="1071" priority="803">
      <formula>$J93="R"</formula>
    </cfRule>
    <cfRule type="expression" dxfId="1070" priority="802">
      <formula>$J93="M"</formula>
    </cfRule>
    <cfRule type="expression" dxfId="1069" priority="801">
      <formula>$J93="A"</formula>
    </cfRule>
  </conditionalFormatting>
  <conditionalFormatting sqref="H102:H106">
    <cfRule type="expression" dxfId="1068" priority="578">
      <formula>$J102="A"</formula>
    </cfRule>
    <cfRule type="expression" dxfId="1067" priority="579">
      <formula>$J102="M"</formula>
    </cfRule>
    <cfRule type="expression" dxfId="1066" priority="580">
      <formula>$J102="R"</formula>
    </cfRule>
  </conditionalFormatting>
  <conditionalFormatting sqref="H117:H121">
    <cfRule type="expression" dxfId="1065" priority="564">
      <formula>$J117="R"</formula>
    </cfRule>
    <cfRule type="expression" dxfId="1064" priority="563">
      <formula>$J117="M"</formula>
    </cfRule>
    <cfRule type="expression" dxfId="1063" priority="562">
      <formula>$J117="A"</formula>
    </cfRule>
  </conditionalFormatting>
  <conditionalFormatting sqref="H131:H135">
    <cfRule type="expression" dxfId="1062" priority="526">
      <formula>$J131="A"</formula>
    </cfRule>
    <cfRule type="expression" dxfId="1061" priority="527">
      <formula>$J131="M"</formula>
    </cfRule>
    <cfRule type="expression" dxfId="1060" priority="528">
      <formula>$J131="R"</formula>
    </cfRule>
  </conditionalFormatting>
  <conditionalFormatting sqref="H145:H149">
    <cfRule type="expression" dxfId="1059" priority="519">
      <formula>$J145="R"</formula>
    </cfRule>
    <cfRule type="expression" dxfId="1058" priority="518">
      <formula>$J145="M"</formula>
    </cfRule>
    <cfRule type="expression" dxfId="1057" priority="517">
      <formula>$J145="A"</formula>
    </cfRule>
  </conditionalFormatting>
  <conditionalFormatting sqref="H159:H163">
    <cfRule type="expression" dxfId="1056" priority="508">
      <formula>$J159="A"</formula>
    </cfRule>
    <cfRule type="expression" dxfId="1055" priority="509">
      <formula>$J159="M"</formula>
    </cfRule>
    <cfRule type="expression" dxfId="1054" priority="510">
      <formula>$J159="R"</formula>
    </cfRule>
  </conditionalFormatting>
  <conditionalFormatting sqref="H174:H177">
    <cfRule type="expression" dxfId="1053" priority="468">
      <formula>$J174="A"</formula>
    </cfRule>
    <cfRule type="expression" dxfId="1052" priority="469">
      <formula>$J174="M"</formula>
    </cfRule>
    <cfRule type="expression" dxfId="1051" priority="470">
      <formula>$J174="R"</formula>
    </cfRule>
  </conditionalFormatting>
  <conditionalFormatting sqref="H192:H195">
    <cfRule type="expression" dxfId="1050" priority="449">
      <formula>$J192="R"</formula>
    </cfRule>
    <cfRule type="expression" dxfId="1049" priority="448">
      <formula>$J192="M"</formula>
    </cfRule>
    <cfRule type="expression" dxfId="1048" priority="447">
      <formula>$J192="A"</formula>
    </cfRule>
  </conditionalFormatting>
  <conditionalFormatting sqref="H210:H213">
    <cfRule type="expression" dxfId="1047" priority="428">
      <formula>$J210="R"</formula>
    </cfRule>
    <cfRule type="expression" dxfId="1046" priority="427">
      <formula>$J210="M"</formula>
    </cfRule>
    <cfRule type="expression" dxfId="1045" priority="426">
      <formula>$J210="A"</formula>
    </cfRule>
  </conditionalFormatting>
  <conditionalFormatting sqref="H228:H231">
    <cfRule type="expression" dxfId="1044" priority="385">
      <formula>$J228="M"</formula>
    </cfRule>
    <cfRule type="expression" dxfId="1043" priority="384">
      <formula>$J228="A"</formula>
    </cfRule>
    <cfRule type="expression" dxfId="1042" priority="386">
      <formula>$J228="R"</formula>
    </cfRule>
  </conditionalFormatting>
  <conditionalFormatting sqref="H246:H249">
    <cfRule type="expression" dxfId="1041" priority="363">
      <formula>$J246="A"</formula>
    </cfRule>
    <cfRule type="expression" dxfId="1040" priority="365">
      <formula>$J246="R"</formula>
    </cfRule>
    <cfRule type="expression" dxfId="1039" priority="364">
      <formula>$J246="M"</formula>
    </cfRule>
  </conditionalFormatting>
  <conditionalFormatting sqref="H264:H267">
    <cfRule type="expression" dxfId="1038" priority="344">
      <formula>$J264="R"</formula>
    </cfRule>
    <cfRule type="expression" dxfId="1037" priority="342">
      <formula>$J264="A"</formula>
    </cfRule>
    <cfRule type="expression" dxfId="1036" priority="343">
      <formula>$J264="M"</formula>
    </cfRule>
  </conditionalFormatting>
  <conditionalFormatting sqref="H5:I12">
    <cfRule type="expression" dxfId="1035" priority="1802">
      <formula>#REF!="A"</formula>
    </cfRule>
    <cfRule type="expression" dxfId="1034" priority="1801">
      <formula>#REF!="R"</formula>
    </cfRule>
  </conditionalFormatting>
  <conditionalFormatting sqref="H25:I25 H26:H29">
    <cfRule type="expression" dxfId="1033" priority="1782">
      <formula>#REF!="A"</formula>
    </cfRule>
    <cfRule type="expression" dxfId="1032" priority="1781">
      <formula>#REF!="R"</formula>
    </cfRule>
  </conditionalFormatting>
  <conditionalFormatting sqref="H79:I81">
    <cfRule type="expression" dxfId="1031" priority="799">
      <formula>$J79="M"</formula>
    </cfRule>
    <cfRule type="expression" dxfId="1030" priority="800">
      <formula>$J79="R"</formula>
    </cfRule>
    <cfRule type="expression" dxfId="1029" priority="798">
      <formula>$J79="A"</formula>
    </cfRule>
  </conditionalFormatting>
  <conditionalFormatting sqref="H188:I191 H206:I209 A207:A214 A219:A220 H219:I220 H224:I227 A225:A232 A237:A238 H237:I238 H242:I245 A243:A250 A255:A256 H255:I256 H260:I263 A261:A268 K273:K278">
    <cfRule type="expression" dxfId="1028" priority="747">
      <formula>$J188="A"</formula>
    </cfRule>
    <cfRule type="expression" dxfId="1027" priority="748">
      <formula>$J188="M"</formula>
    </cfRule>
    <cfRule type="expression" dxfId="1026" priority="749">
      <formula>$J188="R"</formula>
    </cfRule>
  </conditionalFormatting>
  <conditionalFormatting sqref="H3:K3 M3:S3 M5:Z12 M14:Q14 M4:N6 W14 M16:O21 Y16:Z23 L4 L69:N69 O69:R80 L97:N97 Q106:R109 N98 Q98 M106:N109 M110:P110 M70:M76 M77:N80 M81:P81 M178:P178 M183:P184">
    <cfRule type="cellIs" dxfId="1025" priority="1808" operator="equal">
      <formula>"N"</formula>
    </cfRule>
  </conditionalFormatting>
  <conditionalFormatting sqref="I13:I24 E15:F23 G23:G28">
    <cfRule type="expression" dxfId="1024" priority="1800">
      <formula>#REF!="A"</formula>
    </cfRule>
  </conditionalFormatting>
  <conditionalFormatting sqref="I26:I41">
    <cfRule type="expression" dxfId="1023" priority="1639">
      <formula>#REF!="R"</formula>
    </cfRule>
    <cfRule type="expression" dxfId="1022" priority="1640">
      <formula>#REF!="A"</formula>
    </cfRule>
  </conditionalFormatting>
  <conditionalFormatting sqref="I43:I46">
    <cfRule type="expression" dxfId="1021" priority="1632">
      <formula>#REF!="A"</formula>
    </cfRule>
    <cfRule type="expression" dxfId="1020" priority="1631">
      <formula>#REF!="R"</formula>
    </cfRule>
  </conditionalFormatting>
  <conditionalFormatting sqref="I58">
    <cfRule type="expression" dxfId="1019" priority="959">
      <formula>#REF!="A"</formula>
    </cfRule>
    <cfRule type="expression" dxfId="1018" priority="958">
      <formula>#REF!="R"</formula>
    </cfRule>
  </conditionalFormatting>
  <conditionalFormatting sqref="I73:I77">
    <cfRule type="expression" dxfId="1017" priority="591">
      <formula>$K73="R"</formula>
    </cfRule>
    <cfRule type="expression" dxfId="1016" priority="590">
      <formula>$K73="M"</formula>
    </cfRule>
    <cfRule type="expression" dxfId="1015" priority="589">
      <formula>$K73="A"</formula>
    </cfRule>
  </conditionalFormatting>
  <conditionalFormatting sqref="I87:I91">
    <cfRule type="expression" dxfId="1014" priority="581">
      <formula>$K87="A"</formula>
    </cfRule>
    <cfRule type="expression" dxfId="1013" priority="583">
      <formula>$K87="R"</formula>
    </cfRule>
    <cfRule type="expression" dxfId="1012" priority="582">
      <formula>$K87="M"</formula>
    </cfRule>
  </conditionalFormatting>
  <conditionalFormatting sqref="I102:I106">
    <cfRule type="expression" dxfId="1011" priority="572">
      <formula>$K102="R"</formula>
    </cfRule>
    <cfRule type="expression" dxfId="1010" priority="571">
      <formula>$K102="M"</formula>
    </cfRule>
    <cfRule type="expression" dxfId="1009" priority="570">
      <formula>$K102="A"</formula>
    </cfRule>
  </conditionalFormatting>
  <conditionalFormatting sqref="I117:I121">
    <cfRule type="expression" dxfId="1008" priority="555">
      <formula>$K117="M"</formula>
    </cfRule>
    <cfRule type="expression" dxfId="1007" priority="554">
      <formula>$K117="A"</formula>
    </cfRule>
    <cfRule type="expression" dxfId="1006" priority="556">
      <formula>$K117="R"</formula>
    </cfRule>
  </conditionalFormatting>
  <conditionalFormatting sqref="I131:I135">
    <cfRule type="expression" dxfId="1005" priority="522">
      <formula>$K131="R"</formula>
    </cfRule>
    <cfRule type="expression" dxfId="1004" priority="521">
      <formula>$K131="M"</formula>
    </cfRule>
    <cfRule type="expression" dxfId="1003" priority="520">
      <formula>$K131="A"</formula>
    </cfRule>
  </conditionalFormatting>
  <conditionalFormatting sqref="I145:I149">
    <cfRule type="expression" dxfId="1002" priority="511">
      <formula>$K145="A"</formula>
    </cfRule>
    <cfRule type="expression" dxfId="1001" priority="512">
      <formula>$K145="M"</formula>
    </cfRule>
    <cfRule type="expression" dxfId="1000" priority="513">
      <formula>$K145="R"</formula>
    </cfRule>
  </conditionalFormatting>
  <conditionalFormatting sqref="I159:I163">
    <cfRule type="expression" dxfId="999" priority="503">
      <formula>$K159="M"</formula>
    </cfRule>
    <cfRule type="expression" dxfId="998" priority="504">
      <formula>$K159="R"</formula>
    </cfRule>
    <cfRule type="expression" dxfId="997" priority="502">
      <formula>$K159="A"</formula>
    </cfRule>
  </conditionalFormatting>
  <conditionalFormatting sqref="I174:I177">
    <cfRule type="expression" dxfId="996" priority="466">
      <formula>$K174="M"</formula>
    </cfRule>
    <cfRule type="expression" dxfId="995" priority="467">
      <formula>$K174="R"</formula>
    </cfRule>
    <cfRule type="expression" dxfId="994" priority="465">
      <formula>$K174="A"</formula>
    </cfRule>
  </conditionalFormatting>
  <conditionalFormatting sqref="I192:I195">
    <cfRule type="expression" dxfId="993" priority="446">
      <formula>$K192="R"</formula>
    </cfRule>
    <cfRule type="expression" dxfId="992" priority="445">
      <formula>$K192="M"</formula>
    </cfRule>
    <cfRule type="expression" dxfId="991" priority="444">
      <formula>$K192="A"</formula>
    </cfRule>
  </conditionalFormatting>
  <conditionalFormatting sqref="I210:I213">
    <cfRule type="expression" dxfId="990" priority="423">
      <formula>$K210="A"</formula>
    </cfRule>
    <cfRule type="expression" dxfId="989" priority="424">
      <formula>$K210="M"</formula>
    </cfRule>
    <cfRule type="expression" dxfId="988" priority="425">
      <formula>$K210="R"</formula>
    </cfRule>
  </conditionalFormatting>
  <conditionalFormatting sqref="I228:I231">
    <cfRule type="expression" dxfId="987" priority="381">
      <formula>$K228="A"</formula>
    </cfRule>
    <cfRule type="expression" dxfId="986" priority="382">
      <formula>$K228="M"</formula>
    </cfRule>
    <cfRule type="expression" dxfId="985" priority="383">
      <formula>$K228="R"</formula>
    </cfRule>
  </conditionalFormatting>
  <conditionalFormatting sqref="I246:I249">
    <cfRule type="expression" dxfId="984" priority="362">
      <formula>$K246="R"</formula>
    </cfRule>
    <cfRule type="expression" dxfId="983" priority="360">
      <formula>$K246="A"</formula>
    </cfRule>
    <cfRule type="expression" dxfId="982" priority="361">
      <formula>$K246="M"</formula>
    </cfRule>
  </conditionalFormatting>
  <conditionalFormatting sqref="I264:I267">
    <cfRule type="expression" dxfId="981" priority="340">
      <formula>$K264="M"</formula>
    </cfRule>
    <cfRule type="expression" dxfId="980" priority="339">
      <formula>$K264="A"</formula>
    </cfRule>
    <cfRule type="expression" dxfId="979" priority="341">
      <formula>$K264="R"</formula>
    </cfRule>
  </conditionalFormatting>
  <conditionalFormatting sqref="I280">
    <cfRule type="expression" dxfId="978" priority="134">
      <formula>#REF!="R"</formula>
    </cfRule>
    <cfRule type="expression" dxfId="977" priority="135">
      <formula>#REF!="A"</formula>
    </cfRule>
  </conditionalFormatting>
  <conditionalFormatting sqref="I284:I285">
    <cfRule type="expression" dxfId="976" priority="122">
      <formula>$K284="M"</formula>
    </cfRule>
    <cfRule type="expression" dxfId="975" priority="123">
      <formula>$K284="R"</formula>
    </cfRule>
    <cfRule type="expression" dxfId="974" priority="121">
      <formula>$K284="A"</formula>
    </cfRule>
  </conditionalFormatting>
  <conditionalFormatting sqref="I287:I293">
    <cfRule type="expression" dxfId="973" priority="118">
      <formula>$K287="R"</formula>
    </cfRule>
    <cfRule type="expression" dxfId="972" priority="117">
      <formula>$K287="M"</formula>
    </cfRule>
    <cfRule type="expression" dxfId="971" priority="116">
      <formula>$K287="A"</formula>
    </cfRule>
  </conditionalFormatting>
  <conditionalFormatting sqref="I296">
    <cfRule type="expression" dxfId="970" priority="109">
      <formula>#REF!="R"</formula>
    </cfRule>
    <cfRule type="expression" dxfId="969" priority="110">
      <formula>#REF!="A"</formula>
    </cfRule>
  </conditionalFormatting>
  <conditionalFormatting sqref="I299:I310">
    <cfRule type="expression" dxfId="968" priority="89">
      <formula>$K299="R"</formula>
    </cfRule>
    <cfRule type="expression" dxfId="967" priority="88">
      <formula>$K299="M"</formula>
    </cfRule>
    <cfRule type="expression" dxfId="966" priority="87">
      <formula>$K299="A"</formula>
    </cfRule>
  </conditionalFormatting>
  <conditionalFormatting sqref="I313">
    <cfRule type="expression" dxfId="965" priority="65">
      <formula>#REF!="A"</formula>
    </cfRule>
    <cfRule type="expression" dxfId="964" priority="64">
      <formula>#REF!="R"</formula>
    </cfRule>
  </conditionalFormatting>
  <conditionalFormatting sqref="I316:I327">
    <cfRule type="expression" dxfId="963" priority="34">
      <formula>$K316="A"</formula>
    </cfRule>
    <cfRule type="expression" dxfId="962" priority="35">
      <formula>$K316="M"</formula>
    </cfRule>
    <cfRule type="expression" dxfId="961" priority="36">
      <formula>$K316="R"</formula>
    </cfRule>
  </conditionalFormatting>
  <conditionalFormatting sqref="I283:J283">
    <cfRule type="expression" dxfId="960" priority="125">
      <formula>$K283="M"</formula>
    </cfRule>
    <cfRule type="expression" dxfId="959" priority="126">
      <formula>$K283="R"</formula>
    </cfRule>
    <cfRule type="expression" dxfId="958" priority="124">
      <formula>$K283="A"</formula>
    </cfRule>
  </conditionalFormatting>
  <conditionalFormatting sqref="J19:J20 A69:J69">
    <cfRule type="expression" dxfId="957" priority="957">
      <formula>#REF!="A"</formula>
    </cfRule>
  </conditionalFormatting>
  <conditionalFormatting sqref="J48:J51">
    <cfRule type="expression" dxfId="956" priority="1660">
      <formula>#REF!="A"</formula>
    </cfRule>
    <cfRule type="expression" dxfId="955" priority="1659">
      <formula>#REF!="R"</formula>
    </cfRule>
  </conditionalFormatting>
  <conditionalFormatting sqref="J69">
    <cfRule type="expression" dxfId="954" priority="953">
      <formula>#REF!="A"</formula>
    </cfRule>
  </conditionalFormatting>
  <conditionalFormatting sqref="J69:J72">
    <cfRule type="expression" dxfId="953" priority="943">
      <formula>#REF!="R"</formula>
    </cfRule>
  </conditionalFormatting>
  <conditionalFormatting sqref="J70:J72">
    <cfRule type="expression" dxfId="952" priority="942">
      <formula>#REF!="A"</formula>
    </cfRule>
  </conditionalFormatting>
  <conditionalFormatting sqref="J83">
    <cfRule type="expression" dxfId="951" priority="928">
      <formula>#REF!="R"</formula>
    </cfRule>
  </conditionalFormatting>
  <conditionalFormatting sqref="J83:J85">
    <cfRule type="expression" dxfId="950" priority="929">
      <formula>#REF!="A"</formula>
    </cfRule>
  </conditionalFormatting>
  <conditionalFormatting sqref="J84:J85">
    <cfRule type="expression" dxfId="949" priority="945">
      <formula>#REF!="R"</formula>
    </cfRule>
  </conditionalFormatting>
  <conditionalFormatting sqref="J86:J94">
    <cfRule type="expression" dxfId="948" priority="587">
      <formula>#REF!="A"</formula>
    </cfRule>
    <cfRule type="expression" dxfId="947" priority="588">
      <formula>#REF!="R"</formula>
    </cfRule>
  </conditionalFormatting>
  <conditionalFormatting sqref="J97">
    <cfRule type="expression" dxfId="946" priority="878">
      <formula>#REF!="R"</formula>
    </cfRule>
  </conditionalFormatting>
  <conditionalFormatting sqref="J97:J99">
    <cfRule type="expression" dxfId="945" priority="879">
      <formula>#REF!="A"</formula>
    </cfRule>
  </conditionalFormatting>
  <conditionalFormatting sqref="J98:J99">
    <cfRule type="expression" dxfId="944" priority="888">
      <formula>#REF!="R"</formula>
    </cfRule>
  </conditionalFormatting>
  <conditionalFormatting sqref="J100:J106">
    <cfRule type="expression" dxfId="943" priority="576">
      <formula>#REF!="A"</formula>
    </cfRule>
    <cfRule type="expression" dxfId="942" priority="577">
      <formula>#REF!="R"</formula>
    </cfRule>
  </conditionalFormatting>
  <conditionalFormatting sqref="J112">
    <cfRule type="expression" dxfId="941" priority="853">
      <formula>#REF!="R"</formula>
    </cfRule>
  </conditionalFormatting>
  <conditionalFormatting sqref="J112:J114">
    <cfRule type="expression" dxfId="940" priority="854">
      <formula>#REF!="A"</formula>
    </cfRule>
  </conditionalFormatting>
  <conditionalFormatting sqref="J113:J114">
    <cfRule type="expression" dxfId="939" priority="863">
      <formula>#REF!="R"</formula>
    </cfRule>
  </conditionalFormatting>
  <conditionalFormatting sqref="J115:J121">
    <cfRule type="expression" dxfId="938" priority="560">
      <formula>#REF!="A"</formula>
    </cfRule>
    <cfRule type="expression" dxfId="937" priority="561">
      <formula>#REF!="R"</formula>
    </cfRule>
  </conditionalFormatting>
  <conditionalFormatting sqref="J127">
    <cfRule type="expression" dxfId="936" priority="833">
      <formula>#REF!="R"</formula>
    </cfRule>
  </conditionalFormatting>
  <conditionalFormatting sqref="J127:J129">
    <cfRule type="expression" dxfId="935" priority="834">
      <formula>#REF!="A"</formula>
    </cfRule>
  </conditionalFormatting>
  <conditionalFormatting sqref="J128:J129">
    <cfRule type="expression" dxfId="934" priority="843">
      <formula>#REF!="R"</formula>
    </cfRule>
  </conditionalFormatting>
  <conditionalFormatting sqref="J130">
    <cfRule type="expression" dxfId="933" priority="829">
      <formula>#REF!="R"</formula>
    </cfRule>
    <cfRule type="expression" dxfId="932" priority="828">
      <formula>#REF!="A"</formula>
    </cfRule>
  </conditionalFormatting>
  <conditionalFormatting sqref="J141">
    <cfRule type="expression" dxfId="931" priority="813">
      <formula>#REF!="R"</formula>
    </cfRule>
  </conditionalFormatting>
  <conditionalFormatting sqref="J141:J143">
    <cfRule type="expression" dxfId="930" priority="814">
      <formula>#REF!="A"</formula>
    </cfRule>
  </conditionalFormatting>
  <conditionalFormatting sqref="J142:J143">
    <cfRule type="expression" dxfId="929" priority="823">
      <formula>#REF!="R"</formula>
    </cfRule>
  </conditionalFormatting>
  <conditionalFormatting sqref="J144">
    <cfRule type="expression" dxfId="928" priority="809">
      <formula>#REF!="R"</formula>
    </cfRule>
    <cfRule type="expression" dxfId="927" priority="808">
      <formula>#REF!="A"</formula>
    </cfRule>
  </conditionalFormatting>
  <conditionalFormatting sqref="J155">
    <cfRule type="expression" dxfId="926" priority="787">
      <formula>#REF!="R"</formula>
    </cfRule>
  </conditionalFormatting>
  <conditionalFormatting sqref="J155:J157">
    <cfRule type="expression" dxfId="925" priority="788">
      <formula>#REF!="A"</formula>
    </cfRule>
  </conditionalFormatting>
  <conditionalFormatting sqref="J156:J157">
    <cfRule type="expression" dxfId="924" priority="797">
      <formula>#REF!="R"</formula>
    </cfRule>
  </conditionalFormatting>
  <conditionalFormatting sqref="J158:J166">
    <cfRule type="expression" dxfId="923" priority="782">
      <formula>#REF!="A"</formula>
    </cfRule>
    <cfRule type="expression" dxfId="922" priority="783">
      <formula>#REF!="R"</formula>
    </cfRule>
  </conditionalFormatting>
  <conditionalFormatting sqref="J169">
    <cfRule type="expression" dxfId="921" priority="759">
      <formula>#REF!="R"</formula>
    </cfRule>
  </conditionalFormatting>
  <conditionalFormatting sqref="J169:J171">
    <cfRule type="expression" dxfId="920" priority="760">
      <formula>#REF!="A"</formula>
    </cfRule>
  </conditionalFormatting>
  <conditionalFormatting sqref="J170:J171">
    <cfRule type="expression" dxfId="919" priority="769">
      <formula>#REF!="R"</formula>
    </cfRule>
  </conditionalFormatting>
  <conditionalFormatting sqref="J172:J184">
    <cfRule type="expression" dxfId="918" priority="326">
      <formula>#REF!="A"</formula>
    </cfRule>
    <cfRule type="expression" dxfId="917" priority="327">
      <formula>#REF!="R"</formula>
    </cfRule>
  </conditionalFormatting>
  <conditionalFormatting sqref="J187">
    <cfRule type="expression" dxfId="916" priority="725">
      <formula>#REF!="R"</formula>
    </cfRule>
  </conditionalFormatting>
  <conditionalFormatting sqref="J187:J189">
    <cfRule type="expression" dxfId="915" priority="726">
      <formula>#REF!="A"</formula>
    </cfRule>
  </conditionalFormatting>
  <conditionalFormatting sqref="J188:J189">
    <cfRule type="expression" dxfId="914" priority="735">
      <formula>#REF!="R"</formula>
    </cfRule>
  </conditionalFormatting>
  <conditionalFormatting sqref="J190:J202">
    <cfRule type="expression" dxfId="913" priority="307">
      <formula>#REF!="A"</formula>
    </cfRule>
    <cfRule type="expression" dxfId="912" priority="308">
      <formula>#REF!="R"</formula>
    </cfRule>
  </conditionalFormatting>
  <conditionalFormatting sqref="J205">
    <cfRule type="expression" dxfId="911" priority="699">
      <formula>#REF!="R"</formula>
    </cfRule>
  </conditionalFormatting>
  <conditionalFormatting sqref="J205:J207">
    <cfRule type="expression" dxfId="910" priority="700">
      <formula>#REF!="A"</formula>
    </cfRule>
  </conditionalFormatting>
  <conditionalFormatting sqref="J206:J207">
    <cfRule type="expression" dxfId="909" priority="709">
      <formula>#REF!="R"</formula>
    </cfRule>
  </conditionalFormatting>
  <conditionalFormatting sqref="J208:J220">
    <cfRule type="expression" dxfId="908" priority="289">
      <formula>#REF!="R"</formula>
    </cfRule>
    <cfRule type="expression" dxfId="907" priority="288">
      <formula>#REF!="A"</formula>
    </cfRule>
  </conditionalFormatting>
  <conditionalFormatting sqref="J223">
    <cfRule type="expression" dxfId="906" priority="673">
      <formula>#REF!="R"</formula>
    </cfRule>
  </conditionalFormatting>
  <conditionalFormatting sqref="J223:J225">
    <cfRule type="expression" dxfId="905" priority="674">
      <formula>#REF!="A"</formula>
    </cfRule>
  </conditionalFormatting>
  <conditionalFormatting sqref="J224:J225">
    <cfRule type="expression" dxfId="904" priority="683">
      <formula>#REF!="R"</formula>
    </cfRule>
  </conditionalFormatting>
  <conditionalFormatting sqref="J226:J238">
    <cfRule type="expression" dxfId="903" priority="270">
      <formula>#REF!="R"</formula>
    </cfRule>
    <cfRule type="expression" dxfId="902" priority="269">
      <formula>#REF!="A"</formula>
    </cfRule>
  </conditionalFormatting>
  <conditionalFormatting sqref="J241">
    <cfRule type="expression" dxfId="901" priority="650">
      <formula>#REF!="R"</formula>
    </cfRule>
  </conditionalFormatting>
  <conditionalFormatting sqref="J241:J243">
    <cfRule type="expression" dxfId="900" priority="651">
      <formula>#REF!="A"</formula>
    </cfRule>
  </conditionalFormatting>
  <conditionalFormatting sqref="J242:J243">
    <cfRule type="expression" dxfId="899" priority="660">
      <formula>#REF!="R"</formula>
    </cfRule>
  </conditionalFormatting>
  <conditionalFormatting sqref="J244:J256">
    <cfRule type="expression" dxfId="898" priority="251">
      <formula>#REF!="R"</formula>
    </cfRule>
    <cfRule type="expression" dxfId="897" priority="250">
      <formula>#REF!="A"</formula>
    </cfRule>
  </conditionalFormatting>
  <conditionalFormatting sqref="J259">
    <cfRule type="expression" dxfId="896" priority="627">
      <formula>#REF!="R"</formula>
    </cfRule>
  </conditionalFormatting>
  <conditionalFormatting sqref="J259:J261">
    <cfRule type="expression" dxfId="895" priority="628">
      <formula>#REF!="A"</formula>
    </cfRule>
  </conditionalFormatting>
  <conditionalFormatting sqref="J260:J261">
    <cfRule type="expression" dxfId="894" priority="637">
      <formula>#REF!="R"</formula>
    </cfRule>
  </conditionalFormatting>
  <conditionalFormatting sqref="J262:J272">
    <cfRule type="expression" dxfId="893" priority="232">
      <formula>#REF!="R"</formula>
    </cfRule>
    <cfRule type="expression" dxfId="892" priority="231">
      <formula>#REF!="A"</formula>
    </cfRule>
  </conditionalFormatting>
  <conditionalFormatting sqref="J273:J278">
    <cfRule type="expression" dxfId="891" priority="622">
      <formula>#REF!="A"</formula>
    </cfRule>
    <cfRule type="expression" dxfId="890" priority="623">
      <formula>#REF!="R"</formula>
    </cfRule>
  </conditionalFormatting>
  <conditionalFormatting sqref="J282">
    <cfRule type="expression" dxfId="889" priority="133">
      <formula>#REF!="R"</formula>
    </cfRule>
    <cfRule type="expression" dxfId="888" priority="132">
      <formula>#REF!="A"</formula>
    </cfRule>
  </conditionalFormatting>
  <conditionalFormatting sqref="J284:J293">
    <cfRule type="expression" dxfId="887" priority="120">
      <formula>#REF!="R"</formula>
    </cfRule>
    <cfRule type="expression" dxfId="886" priority="119">
      <formula>#REF!="A"</formula>
    </cfRule>
  </conditionalFormatting>
  <conditionalFormatting sqref="J298:J310">
    <cfRule type="expression" dxfId="885" priority="74">
      <formula>#REF!="A"</formula>
    </cfRule>
    <cfRule type="expression" dxfId="884" priority="75">
      <formula>#REF!="R"</formula>
    </cfRule>
  </conditionalFormatting>
  <conditionalFormatting sqref="J315:J327">
    <cfRule type="expression" dxfId="883" priority="24">
      <formula>#REF!="A"</formula>
    </cfRule>
    <cfRule type="expression" dxfId="882" priority="25">
      <formula>#REF!="R"</formula>
    </cfRule>
  </conditionalFormatting>
  <conditionalFormatting sqref="J5:L18 G5:G19 B5:C54">
    <cfRule type="expression" dxfId="881" priority="1772">
      <formula>#REF!="A"</formula>
    </cfRule>
  </conditionalFormatting>
  <conditionalFormatting sqref="J21:L28 J29:K29 L29:L54 J59:J66 G70:G71 J73:J81 G78:G81 G170:G175 G183:G184 K4:L4 B5:C54 G300:G310">
    <cfRule type="expression" dxfId="880" priority="1856">
      <formula>#REF!="R"</formula>
    </cfRule>
  </conditionalFormatting>
  <conditionalFormatting sqref="K4">
    <cfRule type="cellIs" dxfId="879" priority="1728" operator="equal">
      <formula>"N"</formula>
    </cfRule>
  </conditionalFormatting>
  <conditionalFormatting sqref="K69">
    <cfRule type="cellIs" dxfId="878" priority="948" operator="equal">
      <formula>"N"</formula>
    </cfRule>
  </conditionalFormatting>
  <conditionalFormatting sqref="K83">
    <cfRule type="cellIs" dxfId="877" priority="927" operator="equal">
      <formula>"N"</formula>
    </cfRule>
  </conditionalFormatting>
  <conditionalFormatting sqref="K97">
    <cfRule type="cellIs" dxfId="876" priority="877" operator="equal">
      <formula>"N"</formula>
    </cfRule>
  </conditionalFormatting>
  <conditionalFormatting sqref="K112">
    <cfRule type="cellIs" dxfId="875" priority="852" operator="equal">
      <formula>"N"</formula>
    </cfRule>
  </conditionalFormatting>
  <conditionalFormatting sqref="K127">
    <cfRule type="cellIs" dxfId="874" priority="832" operator="equal">
      <formula>"N"</formula>
    </cfRule>
  </conditionalFormatting>
  <conditionalFormatting sqref="K141">
    <cfRule type="cellIs" dxfId="873" priority="812" operator="equal">
      <formula>"N"</formula>
    </cfRule>
  </conditionalFormatting>
  <conditionalFormatting sqref="K155">
    <cfRule type="cellIs" dxfId="872" priority="786" operator="equal">
      <formula>"N"</formula>
    </cfRule>
  </conditionalFormatting>
  <conditionalFormatting sqref="K169">
    <cfRule type="cellIs" dxfId="871" priority="758" operator="equal">
      <formula>"N"</formula>
    </cfRule>
  </conditionalFormatting>
  <conditionalFormatting sqref="K170:K184 A179:C179 E179:I182 B180:C183 A180:A184">
    <cfRule type="expression" dxfId="870" priority="334">
      <formula>$J170="M"</formula>
    </cfRule>
    <cfRule type="expression" dxfId="869" priority="335">
      <formula>$J170="R"</formula>
    </cfRule>
  </conditionalFormatting>
  <conditionalFormatting sqref="K187">
    <cfRule type="cellIs" dxfId="868" priority="724" operator="equal">
      <formula>"N"</formula>
    </cfRule>
  </conditionalFormatting>
  <conditionalFormatting sqref="K188:K202 A189:C200 E197:I200">
    <cfRule type="expression" dxfId="867" priority="315">
      <formula>$J188="M"</formula>
    </cfRule>
    <cfRule type="expression" dxfId="866" priority="316">
      <formula>$J188="R"</formula>
    </cfRule>
  </conditionalFormatting>
  <conditionalFormatting sqref="K205">
    <cfRule type="cellIs" dxfId="865" priority="698" operator="equal">
      <formula>"N"</formula>
    </cfRule>
  </conditionalFormatting>
  <conditionalFormatting sqref="K206:K220 E214:I218 A215:C218">
    <cfRule type="expression" dxfId="864" priority="296">
      <formula>$J206="M"</formula>
    </cfRule>
    <cfRule type="expression" dxfId="863" priority="297">
      <formula>$J206="R"</formula>
    </cfRule>
  </conditionalFormatting>
  <conditionalFormatting sqref="K223">
    <cfRule type="cellIs" dxfId="862" priority="672" operator="equal">
      <formula>"N"</formula>
    </cfRule>
  </conditionalFormatting>
  <conditionalFormatting sqref="K224:K238 E232:I236 A233:C236">
    <cfRule type="expression" dxfId="861" priority="277">
      <formula>$J224="M"</formula>
    </cfRule>
    <cfRule type="expression" dxfId="860" priority="278">
      <formula>$J224="R"</formula>
    </cfRule>
  </conditionalFormatting>
  <conditionalFormatting sqref="K241">
    <cfRule type="cellIs" dxfId="859" priority="649" operator="equal">
      <formula>"N"</formula>
    </cfRule>
  </conditionalFormatting>
  <conditionalFormatting sqref="K242:K256 E250:I254 A251:C254">
    <cfRule type="expression" dxfId="858" priority="258">
      <formula>$J242="M"</formula>
    </cfRule>
    <cfRule type="expression" dxfId="857" priority="259">
      <formula>$J242="R"</formula>
    </cfRule>
  </conditionalFormatting>
  <conditionalFormatting sqref="K259">
    <cfRule type="cellIs" dxfId="856" priority="626" operator="equal">
      <formula>"N"</formula>
    </cfRule>
  </conditionalFormatting>
  <conditionalFormatting sqref="K260:K272 E268:I272 A269:C272">
    <cfRule type="expression" dxfId="855" priority="239">
      <formula>$J260="M"</formula>
    </cfRule>
    <cfRule type="expression" dxfId="854" priority="240">
      <formula>$J260="R"</formula>
    </cfRule>
  </conditionalFormatting>
  <conditionalFormatting sqref="K280">
    <cfRule type="expression" dxfId="853" priority="138">
      <formula>#REF!="A"</formula>
    </cfRule>
    <cfRule type="expression" dxfId="852" priority="137">
      <formula>#REF!="R"</formula>
    </cfRule>
    <cfRule type="cellIs" dxfId="851" priority="136" operator="equal">
      <formula>"N"</formula>
    </cfRule>
  </conditionalFormatting>
  <conditionalFormatting sqref="K296">
    <cfRule type="expression" dxfId="850" priority="113">
      <formula>#REF!="A"</formula>
    </cfRule>
    <cfRule type="expression" dxfId="849" priority="112">
      <formula>#REF!="R"</formula>
    </cfRule>
    <cfRule type="cellIs" dxfId="848" priority="111" operator="equal">
      <formula>"N"</formula>
    </cfRule>
  </conditionalFormatting>
  <conditionalFormatting sqref="K313">
    <cfRule type="expression" dxfId="847" priority="68">
      <formula>#REF!="A"</formula>
    </cfRule>
    <cfRule type="cellIs" dxfId="846" priority="66" operator="equal">
      <formula>"N"</formula>
    </cfRule>
    <cfRule type="expression" dxfId="845" priority="67">
      <formula>#REF!="R"</formula>
    </cfRule>
  </conditionalFormatting>
  <conditionalFormatting sqref="K4:L4 N98:O98 Q98 M106:R109 M110:P110">
    <cfRule type="expression" dxfId="844" priority="1857">
      <formula>#REF!="A"</formula>
    </cfRule>
  </conditionalFormatting>
  <conditionalFormatting sqref="K69:L69">
    <cfRule type="expression" dxfId="843" priority="954">
      <formula>#REF!="R"</formula>
    </cfRule>
    <cfRule type="expression" dxfId="842" priority="955">
      <formula>#REF!="A"</formula>
    </cfRule>
  </conditionalFormatting>
  <conditionalFormatting sqref="K83:L83">
    <cfRule type="expression" dxfId="841" priority="931">
      <formula>#REF!="A"</formula>
    </cfRule>
    <cfRule type="expression" dxfId="840" priority="930">
      <formula>#REF!="R"</formula>
    </cfRule>
  </conditionalFormatting>
  <conditionalFormatting sqref="K97:L97">
    <cfRule type="expression" dxfId="839" priority="880">
      <formula>#REF!="R"</formula>
    </cfRule>
    <cfRule type="expression" dxfId="838" priority="881">
      <formula>#REF!="A"</formula>
    </cfRule>
  </conditionalFormatting>
  <conditionalFormatting sqref="K112:L112">
    <cfRule type="expression" dxfId="837" priority="855">
      <formula>#REF!="R"</formula>
    </cfRule>
    <cfRule type="expression" dxfId="836" priority="856">
      <formula>#REF!="A"</formula>
    </cfRule>
  </conditionalFormatting>
  <conditionalFormatting sqref="K127:L127">
    <cfRule type="expression" dxfId="835" priority="835">
      <formula>#REF!="R"</formula>
    </cfRule>
    <cfRule type="expression" dxfId="834" priority="836">
      <formula>#REF!="A"</formula>
    </cfRule>
  </conditionalFormatting>
  <conditionalFormatting sqref="K141:L141">
    <cfRule type="expression" dxfId="833" priority="816">
      <formula>#REF!="A"</formula>
    </cfRule>
    <cfRule type="expression" dxfId="832" priority="815">
      <formula>#REF!="R"</formula>
    </cfRule>
  </conditionalFormatting>
  <conditionalFormatting sqref="K155:L155">
    <cfRule type="expression" dxfId="831" priority="789">
      <formula>#REF!="R"</formula>
    </cfRule>
    <cfRule type="expression" dxfId="830" priority="790">
      <formula>#REF!="A"</formula>
    </cfRule>
  </conditionalFormatting>
  <conditionalFormatting sqref="K169:L169">
    <cfRule type="expression" dxfId="829" priority="762">
      <formula>#REF!="A"</formula>
    </cfRule>
    <cfRule type="expression" dxfId="828" priority="761">
      <formula>#REF!="R"</formula>
    </cfRule>
  </conditionalFormatting>
  <conditionalFormatting sqref="K187:L187">
    <cfRule type="expression" dxfId="827" priority="727">
      <formula>#REF!="R"</formula>
    </cfRule>
    <cfRule type="expression" dxfId="826" priority="728">
      <formula>#REF!="A"</formula>
    </cfRule>
  </conditionalFormatting>
  <conditionalFormatting sqref="K205:L205">
    <cfRule type="expression" dxfId="825" priority="701">
      <formula>#REF!="R"</formula>
    </cfRule>
    <cfRule type="expression" dxfId="824" priority="702">
      <formula>#REF!="A"</formula>
    </cfRule>
  </conditionalFormatting>
  <conditionalFormatting sqref="K223:L223">
    <cfRule type="expression" dxfId="823" priority="675">
      <formula>#REF!="R"</formula>
    </cfRule>
    <cfRule type="expression" dxfId="822" priority="676">
      <formula>#REF!="A"</formula>
    </cfRule>
  </conditionalFormatting>
  <conditionalFormatting sqref="K241:L241">
    <cfRule type="expression" dxfId="821" priority="652">
      <formula>#REF!="R"</formula>
    </cfRule>
    <cfRule type="expression" dxfId="820" priority="653">
      <formula>#REF!="A"</formula>
    </cfRule>
  </conditionalFormatting>
  <conditionalFormatting sqref="K259:L259">
    <cfRule type="expression" dxfId="819" priority="629">
      <formula>#REF!="R"</formula>
    </cfRule>
    <cfRule type="expression" dxfId="818" priority="630">
      <formula>#REF!="A"</formula>
    </cfRule>
  </conditionalFormatting>
  <conditionalFormatting sqref="K297:M297 L298:M310">
    <cfRule type="expression" dxfId="817" priority="107">
      <formula>#REF!="M"</formula>
    </cfRule>
    <cfRule type="expression" dxfId="816" priority="108">
      <formula>#REF!="R"</formula>
    </cfRule>
    <cfRule type="expression" dxfId="815" priority="106">
      <formula>#REF!="A"</formula>
    </cfRule>
  </conditionalFormatting>
  <conditionalFormatting sqref="L3 J4 K19:L20 G170:G175 G183:G184 J21:L28 J29:K29 L29:L54 J59:J66 G70:G71 J73:J81 G78:G81">
    <cfRule type="expression" dxfId="814" priority="1811">
      <formula>#REF!="A"</formula>
    </cfRule>
  </conditionalFormatting>
  <conditionalFormatting sqref="L3 J4 K19:L20">
    <cfRule type="expression" dxfId="813" priority="1810">
      <formula>#REF!="R"</formula>
    </cfRule>
  </conditionalFormatting>
  <conditionalFormatting sqref="L4">
    <cfRule type="expression" dxfId="812" priority="1666">
      <formula>#REF!="A"</formula>
    </cfRule>
    <cfRule type="expression" dxfId="811" priority="1665">
      <formula>#REF!="R"</formula>
    </cfRule>
  </conditionalFormatting>
  <conditionalFormatting sqref="L58:L66">
    <cfRule type="expression" dxfId="810" priority="960">
      <formula>#REF!="R"</formula>
    </cfRule>
    <cfRule type="cellIs" dxfId="809" priority="962" operator="equal">
      <formula>"N"</formula>
    </cfRule>
    <cfRule type="expression" dxfId="808" priority="961">
      <formula>#REF!="A"</formula>
    </cfRule>
  </conditionalFormatting>
  <conditionalFormatting sqref="L69">
    <cfRule type="expression" dxfId="807" priority="946">
      <formula>#REF!="R"</formula>
    </cfRule>
    <cfRule type="expression" dxfId="806" priority="947">
      <formula>#REF!="A"</formula>
    </cfRule>
  </conditionalFormatting>
  <conditionalFormatting sqref="L83">
    <cfRule type="expression" dxfId="805" priority="925">
      <formula>#REF!="R"</formula>
    </cfRule>
    <cfRule type="expression" dxfId="804" priority="926">
      <formula>#REF!="A"</formula>
    </cfRule>
  </conditionalFormatting>
  <conditionalFormatting sqref="L97">
    <cfRule type="expression" dxfId="803" priority="876">
      <formula>#REF!="A"</formula>
    </cfRule>
    <cfRule type="expression" dxfId="802" priority="875">
      <formula>#REF!="R"</formula>
    </cfRule>
  </conditionalFormatting>
  <conditionalFormatting sqref="L112">
    <cfRule type="expression" dxfId="801" priority="850">
      <formula>#REF!="R"</formula>
    </cfRule>
    <cfRule type="expression" dxfId="800" priority="851">
      <formula>#REF!="A"</formula>
    </cfRule>
  </conditionalFormatting>
  <conditionalFormatting sqref="L127">
    <cfRule type="expression" dxfId="799" priority="830">
      <formula>#REF!="R"</formula>
    </cfRule>
    <cfRule type="expression" dxfId="798" priority="831">
      <formula>#REF!="A"</formula>
    </cfRule>
  </conditionalFormatting>
  <conditionalFormatting sqref="L141">
    <cfRule type="expression" dxfId="797" priority="810">
      <formula>#REF!="R"</formula>
    </cfRule>
    <cfRule type="expression" dxfId="796" priority="811">
      <formula>#REF!="A"</formula>
    </cfRule>
  </conditionalFormatting>
  <conditionalFormatting sqref="L155">
    <cfRule type="expression" dxfId="795" priority="785">
      <formula>#REF!="A"</formula>
    </cfRule>
    <cfRule type="expression" dxfId="794" priority="784">
      <formula>#REF!="R"</formula>
    </cfRule>
  </conditionalFormatting>
  <conditionalFormatting sqref="L169">
    <cfRule type="expression" dxfId="793" priority="756">
      <formula>#REF!="R"</formula>
    </cfRule>
    <cfRule type="expression" dxfId="792" priority="757">
      <formula>#REF!="A"</formula>
    </cfRule>
  </conditionalFormatting>
  <conditionalFormatting sqref="L187">
    <cfRule type="expression" dxfId="791" priority="723">
      <formula>#REF!="A"</formula>
    </cfRule>
    <cfRule type="expression" dxfId="790" priority="722">
      <formula>#REF!="R"</formula>
    </cfRule>
  </conditionalFormatting>
  <conditionalFormatting sqref="L205">
    <cfRule type="expression" dxfId="789" priority="696">
      <formula>#REF!="R"</formula>
    </cfRule>
    <cfRule type="expression" dxfId="788" priority="697">
      <formula>#REF!="A"</formula>
    </cfRule>
  </conditionalFormatting>
  <conditionalFormatting sqref="L223">
    <cfRule type="expression" dxfId="787" priority="671">
      <formula>#REF!="A"</formula>
    </cfRule>
    <cfRule type="expression" dxfId="786" priority="670">
      <formula>#REF!="R"</formula>
    </cfRule>
  </conditionalFormatting>
  <conditionalFormatting sqref="L241">
    <cfRule type="expression" dxfId="785" priority="647">
      <formula>#REF!="R"</formula>
    </cfRule>
    <cfRule type="expression" dxfId="784" priority="648">
      <formula>#REF!="A"</formula>
    </cfRule>
  </conditionalFormatting>
  <conditionalFormatting sqref="L259">
    <cfRule type="expression" dxfId="783" priority="624">
      <formula>#REF!="R"</formula>
    </cfRule>
    <cfRule type="expression" dxfId="782" priority="625">
      <formula>#REF!="A"</formula>
    </cfRule>
  </conditionalFormatting>
  <conditionalFormatting sqref="L315:M327">
    <cfRule type="expression" dxfId="781" priority="46">
      <formula>#REF!="M"</formula>
    </cfRule>
    <cfRule type="expression" dxfId="780" priority="47">
      <formula>#REF!="R"</formula>
    </cfRule>
    <cfRule type="expression" dxfId="779" priority="45">
      <formula>#REF!="A"</formula>
    </cfRule>
  </conditionalFormatting>
  <conditionalFormatting sqref="L187:O187">
    <cfRule type="cellIs" dxfId="778" priority="731" operator="equal">
      <formula>"N"</formula>
    </cfRule>
  </conditionalFormatting>
  <conditionalFormatting sqref="L205:O205">
    <cfRule type="cellIs" dxfId="777" priority="705" operator="equal">
      <formula>"N"</formula>
    </cfRule>
  </conditionalFormatting>
  <conditionalFormatting sqref="L223:O223">
    <cfRule type="cellIs" dxfId="776" priority="679" operator="equal">
      <formula>"N"</formula>
    </cfRule>
  </conditionalFormatting>
  <conditionalFormatting sqref="L241:O241">
    <cfRule type="cellIs" dxfId="775" priority="656" operator="equal">
      <formula>"N"</formula>
    </cfRule>
  </conditionalFormatting>
  <conditionalFormatting sqref="L259:O259">
    <cfRule type="cellIs" dxfId="774" priority="633" operator="equal">
      <formula>"N"</formula>
    </cfRule>
  </conditionalFormatting>
  <conditionalFormatting sqref="L83:P83">
    <cfRule type="cellIs" dxfId="773" priority="934" operator="equal">
      <formula>"N"</formula>
    </cfRule>
  </conditionalFormatting>
  <conditionalFormatting sqref="L112:P112">
    <cfRule type="cellIs" dxfId="772" priority="859" operator="equal">
      <formula>"N"</formula>
    </cfRule>
  </conditionalFormatting>
  <conditionalFormatting sqref="L127:P127">
    <cfRule type="cellIs" dxfId="771" priority="839" operator="equal">
      <formula>"N"</formula>
    </cfRule>
  </conditionalFormatting>
  <conditionalFormatting sqref="L141:P141">
    <cfRule type="cellIs" dxfId="770" priority="819" operator="equal">
      <formula>"N"</formula>
    </cfRule>
  </conditionalFormatting>
  <conditionalFormatting sqref="L155:P155">
    <cfRule type="cellIs" dxfId="769" priority="793" operator="equal">
      <formula>"N"</formula>
    </cfRule>
  </conditionalFormatting>
  <conditionalFormatting sqref="L169:P169">
    <cfRule type="cellIs" dxfId="768" priority="765" operator="equal">
      <formula>"N"</formula>
    </cfRule>
  </conditionalFormatting>
  <conditionalFormatting sqref="M14:M16">
    <cfRule type="cellIs" dxfId="767" priority="1409" operator="equal">
      <formula>"N"</formula>
    </cfRule>
  </conditionalFormatting>
  <conditionalFormatting sqref="M15">
    <cfRule type="cellIs" dxfId="766" priority="1405" operator="equal">
      <formula>"N"</formula>
    </cfRule>
    <cfRule type="expression" dxfId="765" priority="1407">
      <formula>#REF!="R"</formula>
    </cfRule>
    <cfRule type="expression" dxfId="764" priority="1408">
      <formula>#REF!="A"</formula>
    </cfRule>
  </conditionalFormatting>
  <conditionalFormatting sqref="M16">
    <cfRule type="expression" dxfId="763" priority="1412">
      <formula>#REF!="R"</formula>
    </cfRule>
    <cfRule type="expression" dxfId="762" priority="1413">
      <formula>#REF!="A"</formula>
    </cfRule>
  </conditionalFormatting>
  <conditionalFormatting sqref="M16:M18">
    <cfRule type="cellIs" dxfId="761" priority="1414" operator="equal">
      <formula>"N"</formula>
    </cfRule>
  </conditionalFormatting>
  <conditionalFormatting sqref="M17:M18">
    <cfRule type="cellIs" dxfId="760" priority="1419" operator="equal">
      <formula>"N"</formula>
    </cfRule>
    <cfRule type="expression" dxfId="759" priority="1417">
      <formula>#REF!="R"</formula>
    </cfRule>
    <cfRule type="expression" dxfId="758" priority="1418">
      <formula>#REF!="A"</formula>
    </cfRule>
  </conditionalFormatting>
  <conditionalFormatting sqref="M20:M21">
    <cfRule type="cellIs" dxfId="757" priority="1741" operator="equal">
      <formula>"N"</formula>
    </cfRule>
  </conditionalFormatting>
  <conditionalFormatting sqref="M22:M23">
    <cfRule type="expression" dxfId="756" priority="1427">
      <formula>#REF!="R"</formula>
    </cfRule>
    <cfRule type="expression" dxfId="755" priority="1426">
      <formula>#REF!="A"</formula>
    </cfRule>
  </conditionalFormatting>
  <conditionalFormatting sqref="M98:M105 O98:R109 M113:P116 M117:M120 M121:P125 N128:O128 M128:M134 P128:P134 O129:O134 M135:P139 N142:O142 M142:M148 P142:P148 O143:O148 M149:P153 Q154:R154 N156:O156 M156:M162 P156:P162 O157:O162 M163:P166 N98:N102 N105 N117 N120 N129:N131 N134 N143:N145 N148 N157:N159 N162 O117:P120 M106:N109 M110:P110">
    <cfRule type="expression" dxfId="754" priority="873">
      <formula>#REF!="R"</formula>
    </cfRule>
  </conditionalFormatting>
  <conditionalFormatting sqref="M98:M105 Q99:Q109 N113:O113 P113:P115 M113:M120 O114:O115 M121:P125 N128:O128 M128:M134 P128:P134 O129:O134 M135:P139 N142:O142 M142:M148 P142:P148 O143:O148 M149:P153 Q154:R154 N156:O156 M156:M162 P156:P162 O157:O162 M163:P166">
    <cfRule type="cellIs" dxfId="753" priority="870" operator="equal">
      <formula>"N"</formula>
    </cfRule>
  </conditionalFormatting>
  <conditionalFormatting sqref="M98:M105 R98:R109 N99:N102 Q99:Q109 N105 M113:P115 M116:N116 N117 M117:M120 O117:P120 N120 M121:P125 N128:O128 M128:M134 P128:P134 N129:N131 O129:O134 N134 M135:P139 N142:O142 M142:M148 P142:P148 N143:N145 O143:O148 N148 M149:P153 Q154:R154 N156:O156 M156:M162 P156:P162 N157:N159 O157:O162 N162 M163:P166">
    <cfRule type="expression" dxfId="752" priority="874">
      <formula>#REF!="A"</formula>
    </cfRule>
  </conditionalFormatting>
  <conditionalFormatting sqref="M179:M182">
    <cfRule type="expression" dxfId="751" priority="322">
      <formula>#REF!="A"</formula>
    </cfRule>
    <cfRule type="expression" dxfId="750" priority="321">
      <formula>#REF!="R"</formula>
    </cfRule>
    <cfRule type="cellIs" dxfId="749" priority="320" operator="equal">
      <formula>"N"</formula>
    </cfRule>
  </conditionalFormatting>
  <conditionalFormatting sqref="M197:M200">
    <cfRule type="expression" dxfId="748" priority="303">
      <formula>#REF!="A"</formula>
    </cfRule>
    <cfRule type="cellIs" dxfId="747" priority="301" operator="equal">
      <formula>"N"</formula>
    </cfRule>
    <cfRule type="expression" dxfId="746" priority="302">
      <formula>#REF!="R"</formula>
    </cfRule>
  </conditionalFormatting>
  <conditionalFormatting sqref="M215:M218">
    <cfRule type="expression" dxfId="745" priority="284">
      <formula>#REF!="A"</formula>
    </cfRule>
    <cfRule type="expression" dxfId="744" priority="283">
      <formula>#REF!="R"</formula>
    </cfRule>
    <cfRule type="cellIs" dxfId="743" priority="282" operator="equal">
      <formula>"N"</formula>
    </cfRule>
  </conditionalFormatting>
  <conditionalFormatting sqref="M233:M236">
    <cfRule type="expression" dxfId="742" priority="265">
      <formula>#REF!="A"</formula>
    </cfRule>
    <cfRule type="expression" dxfId="741" priority="264">
      <formula>#REF!="R"</formula>
    </cfRule>
    <cfRule type="cellIs" dxfId="740" priority="263" operator="equal">
      <formula>"N"</formula>
    </cfRule>
  </conditionalFormatting>
  <conditionalFormatting sqref="M251:M254">
    <cfRule type="expression" dxfId="739" priority="246">
      <formula>#REF!="A"</formula>
    </cfRule>
    <cfRule type="expression" dxfId="738" priority="245">
      <formula>#REF!="R"</formula>
    </cfRule>
    <cfRule type="cellIs" dxfId="737" priority="244" operator="equal">
      <formula>"N"</formula>
    </cfRule>
  </conditionalFormatting>
  <conditionalFormatting sqref="M269:M272">
    <cfRule type="expression" dxfId="736" priority="226">
      <formula>#REF!="R"</formula>
    </cfRule>
    <cfRule type="cellIs" dxfId="735" priority="225" operator="equal">
      <formula>"N"</formula>
    </cfRule>
    <cfRule type="expression" dxfId="734" priority="227">
      <formula>#REF!="A"</formula>
    </cfRule>
  </conditionalFormatting>
  <conditionalFormatting sqref="M4:N12 N13 M24:N24">
    <cfRule type="expression" dxfId="733" priority="1739">
      <formula>#REF!="A"</formula>
    </cfRule>
  </conditionalFormatting>
  <conditionalFormatting sqref="M24:N24">
    <cfRule type="cellIs" dxfId="732" priority="1754" operator="equal">
      <formula>"N"</formula>
    </cfRule>
  </conditionalFormatting>
  <conditionalFormatting sqref="M97:N97">
    <cfRule type="expression" dxfId="731" priority="885">
      <formula>#REF!="R"</formula>
    </cfRule>
    <cfRule type="expression" dxfId="730" priority="886">
      <formula>#REF!="A"</formula>
    </cfRule>
  </conditionalFormatting>
  <conditionalFormatting sqref="M187:O187">
    <cfRule type="expression" dxfId="729" priority="732">
      <formula>#REF!="R"</formula>
    </cfRule>
    <cfRule type="expression" dxfId="728" priority="733">
      <formula>#REF!="A"</formula>
    </cfRule>
  </conditionalFormatting>
  <conditionalFormatting sqref="M205:O205">
    <cfRule type="expression" dxfId="727" priority="707">
      <formula>#REF!="A"</formula>
    </cfRule>
    <cfRule type="expression" dxfId="726" priority="706">
      <formula>#REF!="R"</formula>
    </cfRule>
  </conditionalFormatting>
  <conditionalFormatting sqref="M223:O223">
    <cfRule type="expression" dxfId="725" priority="681">
      <formula>#REF!="A"</formula>
    </cfRule>
    <cfRule type="expression" dxfId="724" priority="680">
      <formula>#REF!="R"</formula>
    </cfRule>
  </conditionalFormatting>
  <conditionalFormatting sqref="M241:O241">
    <cfRule type="expression" dxfId="723" priority="657">
      <formula>#REF!="R"</formula>
    </cfRule>
    <cfRule type="expression" dxfId="722" priority="658">
      <formula>#REF!="A"</formula>
    </cfRule>
  </conditionalFormatting>
  <conditionalFormatting sqref="M259:O259">
    <cfRule type="expression" dxfId="721" priority="634">
      <formula>#REF!="R"</formula>
    </cfRule>
    <cfRule type="expression" dxfId="720" priority="635">
      <formula>#REF!="A"</formula>
    </cfRule>
  </conditionalFormatting>
  <conditionalFormatting sqref="M15:P16 P16:P19">
    <cfRule type="cellIs" dxfId="719" priority="1744" operator="equal">
      <formula>"N"</formula>
    </cfRule>
  </conditionalFormatting>
  <conditionalFormatting sqref="M25:P25 M26:S26">
    <cfRule type="cellIs" dxfId="718" priority="1663" operator="equal">
      <formula>"N"</formula>
    </cfRule>
    <cfRule type="expression" dxfId="717" priority="1662">
      <formula>#REF!="R"</formula>
    </cfRule>
    <cfRule type="expression" dxfId="716" priority="1664">
      <formula>#REF!="A"</formula>
    </cfRule>
  </conditionalFormatting>
  <conditionalFormatting sqref="M25:P25">
    <cfRule type="cellIs" dxfId="715" priority="1661" operator="equal">
      <formula>"N"</formula>
    </cfRule>
  </conditionalFormatting>
  <conditionalFormatting sqref="M83:P83">
    <cfRule type="expression" dxfId="714" priority="935">
      <formula>#REF!="R"</formula>
    </cfRule>
    <cfRule type="expression" dxfId="713" priority="936">
      <formula>#REF!="A"</formula>
    </cfRule>
  </conditionalFormatting>
  <conditionalFormatting sqref="M112:P112">
    <cfRule type="expression" dxfId="712" priority="861">
      <formula>#REF!="A"</formula>
    </cfRule>
    <cfRule type="expression" dxfId="711" priority="860">
      <formula>#REF!="R"</formula>
    </cfRule>
  </conditionalFormatting>
  <conditionalFormatting sqref="M127:P127">
    <cfRule type="expression" dxfId="710" priority="840">
      <formula>#REF!="R"</formula>
    </cfRule>
    <cfRule type="expression" dxfId="709" priority="841">
      <formula>#REF!="A"</formula>
    </cfRule>
  </conditionalFormatting>
  <conditionalFormatting sqref="M141:P141">
    <cfRule type="expression" dxfId="708" priority="820">
      <formula>#REF!="R"</formula>
    </cfRule>
    <cfRule type="expression" dxfId="707" priority="821">
      <formula>#REF!="A"</formula>
    </cfRule>
  </conditionalFormatting>
  <conditionalFormatting sqref="M155:P155">
    <cfRule type="expression" dxfId="706" priority="795">
      <formula>#REF!="A"</formula>
    </cfRule>
    <cfRule type="expression" dxfId="705" priority="794">
      <formula>#REF!="R"</formula>
    </cfRule>
  </conditionalFormatting>
  <conditionalFormatting sqref="M169:P169">
    <cfRule type="expression" dxfId="704" priority="767">
      <formula>#REF!="A"</formula>
    </cfRule>
    <cfRule type="expression" dxfId="703" priority="766">
      <formula>#REF!="R"</formula>
    </cfRule>
  </conditionalFormatting>
  <conditionalFormatting sqref="M196:P196 M201:P202 M214:P214 M219:P220 M232:P232 M237:P238 M250:P250 M255:P256 M268:P268 M273:P278">
    <cfRule type="cellIs" dxfId="702" priority="742" operator="equal">
      <formula>"N"</formula>
    </cfRule>
    <cfRule type="expression" dxfId="701" priority="746">
      <formula>#REF!="A"</formula>
    </cfRule>
    <cfRule type="expression" dxfId="700" priority="745">
      <formula>#REF!="R"</formula>
    </cfRule>
  </conditionalFormatting>
  <conditionalFormatting sqref="M26:S27">
    <cfRule type="cellIs" dxfId="699" priority="1143" operator="equal">
      <formula>"N"</formula>
    </cfRule>
  </conditionalFormatting>
  <conditionalFormatting sqref="M27:S27">
    <cfRule type="expression" dxfId="698" priority="1144">
      <formula>#REF!="A"</formula>
    </cfRule>
    <cfRule type="cellIs" dxfId="697" priority="1141" operator="equal">
      <formula>"N"</formula>
    </cfRule>
    <cfRule type="expression" dxfId="696" priority="1142">
      <formula>#REF!="R"</formula>
    </cfRule>
  </conditionalFormatting>
  <conditionalFormatting sqref="M13:Z13">
    <cfRule type="expression" dxfId="695" priority="1732">
      <formula>#REF!="A"</formula>
    </cfRule>
    <cfRule type="expression" dxfId="694" priority="1730">
      <formula>#REF!="R"</formula>
    </cfRule>
    <cfRule type="cellIs" dxfId="693" priority="1729" operator="equal">
      <formula>"N"</formula>
    </cfRule>
    <cfRule type="cellIs" dxfId="692" priority="1731" operator="equal">
      <formula>"N"</formula>
    </cfRule>
  </conditionalFormatting>
  <conditionalFormatting sqref="M24:Z24">
    <cfRule type="cellIs" dxfId="691" priority="1747" operator="equal">
      <formula>"N"</formula>
    </cfRule>
  </conditionalFormatting>
  <conditionalFormatting sqref="M28:Z54">
    <cfRule type="cellIs" dxfId="690" priority="985" operator="equal">
      <formula>"N"</formula>
    </cfRule>
  </conditionalFormatting>
  <conditionalFormatting sqref="N13 V5:W12 M4:N12 M24:N24">
    <cfRule type="expression" dxfId="689" priority="1738">
      <formula>#REF!="R"</formula>
    </cfRule>
  </conditionalFormatting>
  <conditionalFormatting sqref="N13">
    <cfRule type="cellIs" dxfId="688" priority="1600" operator="equal">
      <formula>"N"</formula>
    </cfRule>
    <cfRule type="expression" dxfId="687" priority="1599">
      <formula>#REF!="A"</formula>
    </cfRule>
    <cfRule type="cellIs" dxfId="686" priority="1603" operator="equal">
      <formula>"N"</formula>
    </cfRule>
    <cfRule type="expression" dxfId="685" priority="1598">
      <formula>#REF!="R"</formula>
    </cfRule>
  </conditionalFormatting>
  <conditionalFormatting sqref="N13:N14 N17:N18">
    <cfRule type="cellIs" dxfId="684" priority="1753" operator="equal">
      <formula>"N"</formula>
    </cfRule>
  </conditionalFormatting>
  <conditionalFormatting sqref="N13:N14">
    <cfRule type="expression" dxfId="683" priority="1601">
      <formula>#REF!="R"</formula>
    </cfRule>
    <cfRule type="cellIs" dxfId="682" priority="1746" operator="equal">
      <formula>"N"</formula>
    </cfRule>
    <cfRule type="expression" dxfId="681" priority="1602">
      <formula>#REF!="A"</formula>
    </cfRule>
  </conditionalFormatting>
  <conditionalFormatting sqref="N14">
    <cfRule type="expression" dxfId="680" priority="1751">
      <formula>#REF!="R"</formula>
    </cfRule>
    <cfRule type="expression" dxfId="679" priority="1752">
      <formula>#REF!="A"</formula>
    </cfRule>
  </conditionalFormatting>
  <conditionalFormatting sqref="N20:N23 P22:P23">
    <cfRule type="cellIs" dxfId="678" priority="1736" operator="equal">
      <formula>"N"</formula>
    </cfRule>
  </conditionalFormatting>
  <conditionalFormatting sqref="N22:N23 P22:P23">
    <cfRule type="expression" dxfId="677" priority="1735">
      <formula>#REF!="R"</formula>
    </cfRule>
    <cfRule type="expression" dxfId="676" priority="1737">
      <formula>#REF!="A"</formula>
    </cfRule>
  </conditionalFormatting>
  <conditionalFormatting sqref="N22:N23">
    <cfRule type="cellIs" dxfId="675" priority="1733" operator="equal">
      <formula>"N"</formula>
    </cfRule>
  </conditionalFormatting>
  <conditionalFormatting sqref="N70:N76">
    <cfRule type="cellIs" dxfId="674" priority="909" operator="equal">
      <formula>"N"</formula>
    </cfRule>
  </conditionalFormatting>
  <conditionalFormatting sqref="N85:N90">
    <cfRule type="cellIs" dxfId="673" priority="894" operator="equal">
      <formula>"N"</formula>
    </cfRule>
  </conditionalFormatting>
  <conditionalFormatting sqref="N88:N89">
    <cfRule type="expression" dxfId="672" priority="892">
      <formula>#REF!="R"</formula>
    </cfRule>
    <cfRule type="expression" dxfId="671" priority="893">
      <formula>#REF!="A"</formula>
    </cfRule>
  </conditionalFormatting>
  <conditionalFormatting sqref="N99:N105">
    <cfRule type="cellIs" dxfId="670" priority="866" operator="equal">
      <formula>"N"</formula>
    </cfRule>
  </conditionalFormatting>
  <conditionalFormatting sqref="N103:N104">
    <cfRule type="expression" dxfId="669" priority="864">
      <formula>#REF!="R"</formula>
    </cfRule>
    <cfRule type="expression" dxfId="668" priority="865">
      <formula>#REF!="A"</formula>
    </cfRule>
  </conditionalFormatting>
  <conditionalFormatting sqref="N114:N116">
    <cfRule type="cellIs" dxfId="667" priority="567" operator="equal">
      <formula>"N"</formula>
    </cfRule>
  </conditionalFormatting>
  <conditionalFormatting sqref="N117:N120">
    <cfRule type="cellIs" dxfId="666" priority="846" operator="equal">
      <formula>"N"</formula>
    </cfRule>
  </conditionalFormatting>
  <conditionalFormatting sqref="N118:N119">
    <cfRule type="expression" dxfId="665" priority="844">
      <formula>#REF!="R"</formula>
    </cfRule>
    <cfRule type="expression" dxfId="664" priority="845">
      <formula>#REF!="A"</formula>
    </cfRule>
  </conditionalFormatting>
  <conditionalFormatting sqref="N129:N134">
    <cfRule type="cellIs" dxfId="663" priority="826" operator="equal">
      <formula>"N"</formula>
    </cfRule>
  </conditionalFormatting>
  <conditionalFormatting sqref="N132:N133">
    <cfRule type="expression" dxfId="662" priority="824">
      <formula>#REF!="R"</formula>
    </cfRule>
    <cfRule type="expression" dxfId="661" priority="825">
      <formula>#REF!="A"</formula>
    </cfRule>
  </conditionalFormatting>
  <conditionalFormatting sqref="N143:N148">
    <cfRule type="cellIs" dxfId="660" priority="806" operator="equal">
      <formula>"N"</formula>
    </cfRule>
  </conditionalFormatting>
  <conditionalFormatting sqref="N146:N147">
    <cfRule type="expression" dxfId="659" priority="804">
      <formula>#REF!="R"</formula>
    </cfRule>
    <cfRule type="expression" dxfId="658" priority="805">
      <formula>#REF!="A"</formula>
    </cfRule>
  </conditionalFormatting>
  <conditionalFormatting sqref="N157:N162">
    <cfRule type="cellIs" dxfId="657" priority="780" operator="equal">
      <formula>"N"</formula>
    </cfRule>
  </conditionalFormatting>
  <conditionalFormatting sqref="N160:N161">
    <cfRule type="expression" dxfId="656" priority="779">
      <formula>#REF!="A"</formula>
    </cfRule>
    <cfRule type="expression" dxfId="655" priority="778">
      <formula>#REF!="R"</formula>
    </cfRule>
  </conditionalFormatting>
  <conditionalFormatting sqref="N171:N177">
    <cfRule type="cellIs" dxfId="654" priority="752" operator="equal">
      <formula>"N"</formula>
    </cfRule>
  </conditionalFormatting>
  <conditionalFormatting sqref="N175:N176">
    <cfRule type="expression" dxfId="653" priority="750">
      <formula>#REF!="R"</formula>
    </cfRule>
    <cfRule type="expression" dxfId="652" priority="751">
      <formula>#REF!="A"</formula>
    </cfRule>
  </conditionalFormatting>
  <conditionalFormatting sqref="N179:N182">
    <cfRule type="expression" dxfId="651" priority="318">
      <formula>#REF!="R"</formula>
    </cfRule>
    <cfRule type="cellIs" dxfId="650" priority="317" operator="equal">
      <formula>"N"</formula>
    </cfRule>
    <cfRule type="expression" dxfId="649" priority="319">
      <formula>#REF!="A"</formula>
    </cfRule>
  </conditionalFormatting>
  <conditionalFormatting sqref="N189:N195">
    <cfRule type="cellIs" dxfId="648" priority="718" operator="equal">
      <formula>"N"</formula>
    </cfRule>
  </conditionalFormatting>
  <conditionalFormatting sqref="N193:N194">
    <cfRule type="expression" dxfId="647" priority="716">
      <formula>#REF!="R"</formula>
    </cfRule>
    <cfRule type="expression" dxfId="646" priority="717">
      <formula>#REF!="A"</formula>
    </cfRule>
  </conditionalFormatting>
  <conditionalFormatting sqref="N197:N200">
    <cfRule type="cellIs" dxfId="645" priority="298" operator="equal">
      <formula>"N"</formula>
    </cfRule>
    <cfRule type="expression" dxfId="644" priority="300">
      <formula>#REF!="A"</formula>
    </cfRule>
    <cfRule type="expression" dxfId="643" priority="299">
      <formula>#REF!="R"</formula>
    </cfRule>
  </conditionalFormatting>
  <conditionalFormatting sqref="N207:N213">
    <cfRule type="cellIs" dxfId="642" priority="692" operator="equal">
      <formula>"N"</formula>
    </cfRule>
  </conditionalFormatting>
  <conditionalFormatting sqref="N211:N212">
    <cfRule type="expression" dxfId="641" priority="690">
      <formula>#REF!="R"</formula>
    </cfRule>
    <cfRule type="expression" dxfId="640" priority="691">
      <formula>#REF!="A"</formula>
    </cfRule>
  </conditionalFormatting>
  <conditionalFormatting sqref="N215:N218">
    <cfRule type="expression" dxfId="639" priority="280">
      <formula>#REF!="R"</formula>
    </cfRule>
    <cfRule type="cellIs" dxfId="638" priority="279" operator="equal">
      <formula>"N"</formula>
    </cfRule>
    <cfRule type="expression" dxfId="637" priority="281">
      <formula>#REF!="A"</formula>
    </cfRule>
  </conditionalFormatting>
  <conditionalFormatting sqref="N225:N231">
    <cfRule type="cellIs" dxfId="636" priority="666" operator="equal">
      <formula>"N"</formula>
    </cfRule>
  </conditionalFormatting>
  <conditionalFormatting sqref="N229:N230">
    <cfRule type="expression" dxfId="635" priority="664">
      <formula>#REF!="R"</formula>
    </cfRule>
    <cfRule type="expression" dxfId="634" priority="665">
      <formula>#REF!="A"</formula>
    </cfRule>
  </conditionalFormatting>
  <conditionalFormatting sqref="N233:N236">
    <cfRule type="expression" dxfId="633" priority="262">
      <formula>#REF!="A"</formula>
    </cfRule>
    <cfRule type="expression" dxfId="632" priority="261">
      <formula>#REF!="R"</formula>
    </cfRule>
    <cfRule type="cellIs" dxfId="631" priority="260" operator="equal">
      <formula>"N"</formula>
    </cfRule>
  </conditionalFormatting>
  <conditionalFormatting sqref="N243:N249">
    <cfRule type="cellIs" dxfId="630" priority="643" operator="equal">
      <formula>"N"</formula>
    </cfRule>
  </conditionalFormatting>
  <conditionalFormatting sqref="N247:N248">
    <cfRule type="expression" dxfId="629" priority="641">
      <formula>#REF!="R"</formula>
    </cfRule>
    <cfRule type="expression" dxfId="628" priority="642">
      <formula>#REF!="A"</formula>
    </cfRule>
  </conditionalFormatting>
  <conditionalFormatting sqref="N251:N254">
    <cfRule type="expression" dxfId="627" priority="242">
      <formula>#REF!="R"</formula>
    </cfRule>
    <cfRule type="cellIs" dxfId="626" priority="241" operator="equal">
      <formula>"N"</formula>
    </cfRule>
    <cfRule type="expression" dxfId="625" priority="243">
      <formula>#REF!="A"</formula>
    </cfRule>
  </conditionalFormatting>
  <conditionalFormatting sqref="N261:N267">
    <cfRule type="cellIs" dxfId="624" priority="620" operator="equal">
      <formula>"N"</formula>
    </cfRule>
  </conditionalFormatting>
  <conditionalFormatting sqref="N265:N266">
    <cfRule type="expression" dxfId="623" priority="619">
      <formula>#REF!="A"</formula>
    </cfRule>
    <cfRule type="expression" dxfId="622" priority="618">
      <formula>#REF!="R"</formula>
    </cfRule>
  </conditionalFormatting>
  <conditionalFormatting sqref="N269:N272">
    <cfRule type="expression" dxfId="621" priority="224">
      <formula>#REF!="A"</formula>
    </cfRule>
    <cfRule type="expression" dxfId="620" priority="223">
      <formula>#REF!="R"</formula>
    </cfRule>
    <cfRule type="cellIs" dxfId="619" priority="222" operator="equal">
      <formula>"N"</formula>
    </cfRule>
  </conditionalFormatting>
  <conditionalFormatting sqref="N84:O84 M84:M90 P84:P90 N85:N87 O85:O90 N90 M91:P94">
    <cfRule type="expression" dxfId="618" priority="902">
      <formula>#REF!="A"</formula>
    </cfRule>
  </conditionalFormatting>
  <conditionalFormatting sqref="N84:O84 M84:M90 P84:P90 O85:O90 M91:P94 N85:N87 N90">
    <cfRule type="expression" dxfId="617" priority="901">
      <formula>#REF!="R"</formula>
    </cfRule>
  </conditionalFormatting>
  <conditionalFormatting sqref="N84:O84 M84:M90 P84:P90 O85:O90 M91:P94">
    <cfRule type="cellIs" dxfId="616" priority="898" operator="equal">
      <formula>"N"</formula>
    </cfRule>
  </conditionalFormatting>
  <conditionalFormatting sqref="N170:O170 M170:M177 P170:P177 N171:N174 O171:O177 N177 O6:Z12 X5:Z6">
    <cfRule type="expression" dxfId="615" priority="774">
      <formula>#REF!="A"</formula>
    </cfRule>
  </conditionalFormatting>
  <conditionalFormatting sqref="N170:O170 M170:M177 P170:P177 O171:O177 N171:N174 N177">
    <cfRule type="expression" dxfId="614" priority="773">
      <formula>#REF!="R"</formula>
    </cfRule>
  </conditionalFormatting>
  <conditionalFormatting sqref="N170:O170 M170:M177 P170:P177 O171:O177">
    <cfRule type="cellIs" dxfId="613" priority="770" operator="equal">
      <formula>"N"</formula>
    </cfRule>
  </conditionalFormatting>
  <conditionalFormatting sqref="N188:O188 M188:M195 N189:N192 O189:O195 N195">
    <cfRule type="expression" dxfId="612" priority="738">
      <formula>#REF!="A"</formula>
    </cfRule>
  </conditionalFormatting>
  <conditionalFormatting sqref="N188:O188 M188:M195 O189:O195 N189:N192 N195">
    <cfRule type="expression" dxfId="611" priority="737">
      <formula>#REF!="R"</formula>
    </cfRule>
  </conditionalFormatting>
  <conditionalFormatting sqref="N188:O188 M188:M195 O189:O195">
    <cfRule type="cellIs" dxfId="610" priority="736" operator="equal">
      <formula>"N"</formula>
    </cfRule>
  </conditionalFormatting>
  <conditionalFormatting sqref="N206:O206 M206:M213 N207:N210 O207:O213 N213">
    <cfRule type="expression" dxfId="609" priority="712">
      <formula>#REF!="A"</formula>
    </cfRule>
  </conditionalFormatting>
  <conditionalFormatting sqref="N206:O206 M206:M213 O207:O213 N207:N210 N213">
    <cfRule type="expression" dxfId="608" priority="711">
      <formula>#REF!="R"</formula>
    </cfRule>
  </conditionalFormatting>
  <conditionalFormatting sqref="N206:O206 M206:M213 O207:O213">
    <cfRule type="cellIs" dxfId="607" priority="710" operator="equal">
      <formula>"N"</formula>
    </cfRule>
  </conditionalFormatting>
  <conditionalFormatting sqref="N224:O224 M224:M231 N225:N228 O225:O231 N231">
    <cfRule type="expression" dxfId="606" priority="686">
      <formula>#REF!="A"</formula>
    </cfRule>
  </conditionalFormatting>
  <conditionalFormatting sqref="N224:O224 M224:M231 O225:O231 N225:N228 N231">
    <cfRule type="expression" dxfId="605" priority="685">
      <formula>#REF!="R"</formula>
    </cfRule>
  </conditionalFormatting>
  <conditionalFormatting sqref="N224:O224 M224:M231 O225:O231">
    <cfRule type="cellIs" dxfId="604" priority="684" operator="equal">
      <formula>"N"</formula>
    </cfRule>
  </conditionalFormatting>
  <conditionalFormatting sqref="N242:O242 M242:M249 N243:N246 O243:O249 N249">
    <cfRule type="expression" dxfId="603" priority="663">
      <formula>#REF!="A"</formula>
    </cfRule>
  </conditionalFormatting>
  <conditionalFormatting sqref="N242:O242 M242:M249 O243:O249 N243:N246 N249">
    <cfRule type="expression" dxfId="602" priority="662">
      <formula>#REF!="R"</formula>
    </cfRule>
  </conditionalFormatting>
  <conditionalFormatting sqref="N242:O242 M242:M249 O243:O249">
    <cfRule type="cellIs" dxfId="601" priority="661" operator="equal">
      <formula>"N"</formula>
    </cfRule>
  </conditionalFormatting>
  <conditionalFormatting sqref="N260:O260 M260:M267 N261:N264 O261:O267 N267">
    <cfRule type="expression" dxfId="600" priority="640">
      <formula>#REF!="A"</formula>
    </cfRule>
  </conditionalFormatting>
  <conditionalFormatting sqref="N260:O260 M260:M267 O261:O267 N261:N264 N267">
    <cfRule type="expression" dxfId="599" priority="639">
      <formula>#REF!="R"</formula>
    </cfRule>
  </conditionalFormatting>
  <conditionalFormatting sqref="N260:O260 M260:M267 O261:O267">
    <cfRule type="cellIs" dxfId="598" priority="638" operator="equal">
      <formula>"N"</formula>
    </cfRule>
  </conditionalFormatting>
  <conditionalFormatting sqref="N74:P75">
    <cfRule type="expression" dxfId="597" priority="907">
      <formula>#REF!="R"</formula>
    </cfRule>
    <cfRule type="expression" dxfId="596" priority="908">
      <formula>#REF!="A"</formula>
    </cfRule>
  </conditionalFormatting>
  <conditionalFormatting sqref="O5:O12 M28:N54">
    <cfRule type="cellIs" dxfId="595" priority="986" operator="equal">
      <formula>"N"</formula>
    </cfRule>
    <cfRule type="expression" dxfId="594" priority="983">
      <formula>#REF!="R"</formula>
    </cfRule>
    <cfRule type="expression" dxfId="593" priority="984">
      <formula>#REF!="A"</formula>
    </cfRule>
  </conditionalFormatting>
  <conditionalFormatting sqref="O15:O19">
    <cfRule type="cellIs" dxfId="592" priority="1430" operator="equal">
      <formula>"N"</formula>
    </cfRule>
  </conditionalFormatting>
  <conditionalFormatting sqref="O17:O18">
    <cfRule type="cellIs" dxfId="591" priority="1718" operator="equal">
      <formula>"N"</formula>
    </cfRule>
  </conditionalFormatting>
  <conditionalFormatting sqref="O20:O21">
    <cfRule type="cellIs" dxfId="590" priority="1717" operator="equal">
      <formula>"N"</formula>
    </cfRule>
  </conditionalFormatting>
  <conditionalFormatting sqref="O22:O23">
    <cfRule type="expression" dxfId="589" priority="1428">
      <formula>#REF!="A"</formula>
    </cfRule>
    <cfRule type="expression" dxfId="588" priority="1429">
      <formula>#REF!="R"</formula>
    </cfRule>
  </conditionalFormatting>
  <conditionalFormatting sqref="O98:O105 P98:P105">
    <cfRule type="cellIs" dxfId="587" priority="601" operator="equal">
      <formula>"N"</formula>
    </cfRule>
  </conditionalFormatting>
  <conditionalFormatting sqref="O97:P97 O106:P109">
    <cfRule type="cellIs" dxfId="586" priority="605" operator="equal">
      <formula>"N"</formula>
    </cfRule>
  </conditionalFormatting>
  <conditionalFormatting sqref="O97:P97">
    <cfRule type="expression" dxfId="585" priority="603">
      <formula>#REF!="R"</formula>
    </cfRule>
    <cfRule type="expression" dxfId="584" priority="604">
      <formula>#REF!="A"</formula>
    </cfRule>
  </conditionalFormatting>
  <conditionalFormatting sqref="O116:P116">
    <cfRule type="expression" dxfId="583" priority="566">
      <formula>#REF!="A"</formula>
    </cfRule>
  </conditionalFormatting>
  <conditionalFormatting sqref="O116:P120">
    <cfRule type="cellIs" dxfId="582" priority="565" operator="equal">
      <formula>"N"</formula>
    </cfRule>
  </conditionalFormatting>
  <conditionalFormatting sqref="O179:P182">
    <cfRule type="expression" dxfId="581" priority="331">
      <formula>#REF!="R"</formula>
    </cfRule>
    <cfRule type="expression" dxfId="580" priority="332">
      <formula>#REF!="A"</formula>
    </cfRule>
    <cfRule type="cellIs" dxfId="579" priority="328" operator="equal">
      <formula>"N"</formula>
    </cfRule>
  </conditionalFormatting>
  <conditionalFormatting sqref="O197:P200">
    <cfRule type="cellIs" dxfId="578" priority="309" operator="equal">
      <formula>"N"</formula>
    </cfRule>
    <cfRule type="expression" dxfId="577" priority="312">
      <formula>#REF!="R"</formula>
    </cfRule>
    <cfRule type="expression" dxfId="576" priority="313">
      <formula>#REF!="A"</formula>
    </cfRule>
  </conditionalFormatting>
  <conditionalFormatting sqref="O215:P218">
    <cfRule type="expression" dxfId="575" priority="294">
      <formula>#REF!="A"</formula>
    </cfRule>
    <cfRule type="expression" dxfId="574" priority="293">
      <formula>#REF!="R"</formula>
    </cfRule>
    <cfRule type="cellIs" dxfId="573" priority="290" operator="equal">
      <formula>"N"</formula>
    </cfRule>
  </conditionalFormatting>
  <conditionalFormatting sqref="O233:P236">
    <cfRule type="expression" dxfId="572" priority="275">
      <formula>#REF!="A"</formula>
    </cfRule>
    <cfRule type="expression" dxfId="571" priority="274">
      <formula>#REF!="R"</formula>
    </cfRule>
    <cfRule type="cellIs" dxfId="570" priority="271" operator="equal">
      <formula>"N"</formula>
    </cfRule>
  </conditionalFormatting>
  <conditionalFormatting sqref="O251:P254">
    <cfRule type="expression" dxfId="569" priority="256">
      <formula>#REF!="A"</formula>
    </cfRule>
    <cfRule type="expression" dxfId="568" priority="255">
      <formula>#REF!="R"</formula>
    </cfRule>
    <cfRule type="cellIs" dxfId="567" priority="252" operator="equal">
      <formula>"N"</formula>
    </cfRule>
  </conditionalFormatting>
  <conditionalFormatting sqref="O269:P272">
    <cfRule type="cellIs" dxfId="566" priority="233" operator="equal">
      <formula>"N"</formula>
    </cfRule>
    <cfRule type="expression" dxfId="565" priority="237">
      <formula>#REF!="A"</formula>
    </cfRule>
    <cfRule type="expression" dxfId="564" priority="236">
      <formula>#REF!="R"</formula>
    </cfRule>
  </conditionalFormatting>
  <conditionalFormatting sqref="O14:Q14">
    <cfRule type="cellIs" dxfId="563" priority="1719" operator="equal">
      <formula>"N"</formula>
    </cfRule>
  </conditionalFormatting>
  <conditionalFormatting sqref="O4:U5 Q5:Z5 U13:U14 O14:Q14 W14 O15:P18 O19:O21 O24:W24">
    <cfRule type="expression" dxfId="562" priority="1716">
      <formula>#REF!="A"</formula>
    </cfRule>
  </conditionalFormatting>
  <conditionalFormatting sqref="O4:U5 Q5:Z5">
    <cfRule type="cellIs" dxfId="561" priority="1727" operator="equal">
      <formula>"N"</formula>
    </cfRule>
  </conditionalFormatting>
  <conditionalFormatting sqref="O24:U24">
    <cfRule type="cellIs" dxfId="560" priority="1726" operator="equal">
      <formula>"N"</formula>
    </cfRule>
  </conditionalFormatting>
  <conditionalFormatting sqref="O28:U54">
    <cfRule type="cellIs" dxfId="559" priority="982" operator="equal">
      <formula>"N"</formula>
    </cfRule>
  </conditionalFormatting>
  <conditionalFormatting sqref="O13:V13">
    <cfRule type="cellIs" dxfId="558" priority="1709" operator="equal">
      <formula>"N"</formula>
    </cfRule>
    <cfRule type="expression" dxfId="557" priority="1710">
      <formula>#REF!="R"</formula>
    </cfRule>
    <cfRule type="cellIs" dxfId="556" priority="1711" operator="equal">
      <formula>"N"</formula>
    </cfRule>
    <cfRule type="expression" dxfId="555" priority="1712">
      <formula>#REF!="A"</formula>
    </cfRule>
  </conditionalFormatting>
  <conditionalFormatting sqref="O28:W54">
    <cfRule type="expression" dxfId="554" priority="981">
      <formula>#REF!="A"</formula>
    </cfRule>
    <cfRule type="expression" dxfId="553" priority="980">
      <formula>#REF!="R"</formula>
    </cfRule>
  </conditionalFormatting>
  <conditionalFormatting sqref="O6:Z12">
    <cfRule type="expression" dxfId="552" priority="1137">
      <formula>#REF!="R"</formula>
    </cfRule>
  </conditionalFormatting>
  <conditionalFormatting sqref="P5:P13 M58:M66">
    <cfRule type="expression" dxfId="551" priority="968">
      <formula>#REF!="A"</formula>
    </cfRule>
    <cfRule type="cellIs" dxfId="550" priority="969" operator="equal">
      <formula>"N"</formula>
    </cfRule>
    <cfRule type="expression" dxfId="549" priority="967">
      <formula>#REF!="R"</formula>
    </cfRule>
  </conditionalFormatting>
  <conditionalFormatting sqref="P13">
    <cfRule type="cellIs" dxfId="548" priority="1593" operator="equal">
      <formula>"N"</formula>
    </cfRule>
    <cfRule type="expression" dxfId="547" priority="1588">
      <formula>#REF!="R"</formula>
    </cfRule>
    <cfRule type="expression" dxfId="546" priority="1589">
      <formula>#REF!="A"</formula>
    </cfRule>
    <cfRule type="expression" dxfId="545" priority="1592">
      <formula>#REF!="A"</formula>
    </cfRule>
    <cfRule type="expression" dxfId="544" priority="1591">
      <formula>#REF!="R"</formula>
    </cfRule>
    <cfRule type="cellIs" dxfId="543" priority="1590" operator="equal">
      <formula>"N"</formula>
    </cfRule>
  </conditionalFormatting>
  <conditionalFormatting sqref="P15:P19">
    <cfRule type="expression" dxfId="542" priority="1383">
      <formula>#REF!="A"</formula>
    </cfRule>
    <cfRule type="cellIs" dxfId="541" priority="1381" operator="equal">
      <formula>"N"</formula>
    </cfRule>
    <cfRule type="expression" dxfId="540" priority="1380">
      <formula>#REF!="A"</formula>
    </cfRule>
    <cfRule type="expression" dxfId="539" priority="1379">
      <formula>#REF!="R"</formula>
    </cfRule>
    <cfRule type="expression" dxfId="538" priority="1376">
      <formula>#REF!="R"</formula>
    </cfRule>
    <cfRule type="expression" dxfId="537" priority="1377">
      <formula>#REF!="A"</formula>
    </cfRule>
    <cfRule type="cellIs" dxfId="536" priority="1378" operator="equal">
      <formula>"N"</formula>
    </cfRule>
    <cfRule type="expression" dxfId="535" priority="1382">
      <formula>#REF!="R"</formula>
    </cfRule>
  </conditionalFormatting>
  <conditionalFormatting sqref="P15:P21">
    <cfRule type="cellIs" dxfId="534" priority="1384" operator="equal">
      <formula>"N"</formula>
    </cfRule>
  </conditionalFormatting>
  <conditionalFormatting sqref="P16:P21">
    <cfRule type="expression" dxfId="533" priority="1422">
      <formula>#REF!="R"</formula>
    </cfRule>
  </conditionalFormatting>
  <conditionalFormatting sqref="P19:P21 V5:W12">
    <cfRule type="expression" dxfId="532" priority="1424">
      <formula>#REF!="A"</formula>
    </cfRule>
  </conditionalFormatting>
  <conditionalFormatting sqref="P20:P23">
    <cfRule type="cellIs" dxfId="531" priority="1423" operator="equal">
      <formula>"N"</formula>
    </cfRule>
  </conditionalFormatting>
  <conditionalFormatting sqref="P24">
    <cfRule type="cellIs" dxfId="530" priority="1404" operator="equal">
      <formula>"N"</formula>
    </cfRule>
    <cfRule type="expression" dxfId="529" priority="1403">
      <formula>#REF!="A"</formula>
    </cfRule>
    <cfRule type="expression" dxfId="528" priority="1402">
      <formula>#REF!="R"</formula>
    </cfRule>
  </conditionalFormatting>
  <conditionalFormatting sqref="P98:P105 O99:O105">
    <cfRule type="expression" dxfId="527" priority="602">
      <formula>#REF!="A"</formula>
    </cfRule>
  </conditionalFormatting>
  <conditionalFormatting sqref="P187:P195">
    <cfRule type="cellIs" dxfId="526" priority="219" operator="equal">
      <formula>"N"</formula>
    </cfRule>
    <cfRule type="expression" dxfId="525" priority="220">
      <formula>#REF!="R"</formula>
    </cfRule>
    <cfRule type="expression" dxfId="524" priority="221">
      <formula>#REF!="A"</formula>
    </cfRule>
  </conditionalFormatting>
  <conditionalFormatting sqref="P205:P213">
    <cfRule type="expression" dxfId="523" priority="217">
      <formula>#REF!="R"</formula>
    </cfRule>
    <cfRule type="cellIs" dxfId="522" priority="216" operator="equal">
      <formula>"N"</formula>
    </cfRule>
    <cfRule type="expression" dxfId="521" priority="218">
      <formula>#REF!="A"</formula>
    </cfRule>
  </conditionalFormatting>
  <conditionalFormatting sqref="P223:P231">
    <cfRule type="expression" dxfId="520" priority="215">
      <formula>#REF!="A"</formula>
    </cfRule>
    <cfRule type="cellIs" dxfId="519" priority="213" operator="equal">
      <formula>"N"</formula>
    </cfRule>
    <cfRule type="expression" dxfId="518" priority="214">
      <formula>#REF!="R"</formula>
    </cfRule>
  </conditionalFormatting>
  <conditionalFormatting sqref="P241:P249">
    <cfRule type="expression" dxfId="517" priority="211">
      <formula>#REF!="R"</formula>
    </cfRule>
    <cfRule type="expression" dxfId="516" priority="212">
      <formula>#REF!="A"</formula>
    </cfRule>
    <cfRule type="cellIs" dxfId="515" priority="210" operator="equal">
      <formula>"N"</formula>
    </cfRule>
  </conditionalFormatting>
  <conditionalFormatting sqref="P259:P267">
    <cfRule type="expression" dxfId="514" priority="209">
      <formula>#REF!="A"</formula>
    </cfRule>
    <cfRule type="expression" dxfId="513" priority="208">
      <formula>#REF!="R"</formula>
    </cfRule>
    <cfRule type="cellIs" dxfId="512" priority="207" operator="equal">
      <formula>"N"</formula>
    </cfRule>
  </conditionalFormatting>
  <conditionalFormatting sqref="P14:Q14">
    <cfRule type="expression" dxfId="511" priority="1507">
      <formula>#REF!="A"</formula>
    </cfRule>
    <cfRule type="cellIs" dxfId="510" priority="1508" operator="equal">
      <formula>"N"</formula>
    </cfRule>
    <cfRule type="expression" dxfId="509" priority="1509">
      <formula>#REF!="R"</formula>
    </cfRule>
    <cfRule type="expression" dxfId="508" priority="1510">
      <formula>#REF!="A"</formula>
    </cfRule>
    <cfRule type="expression" dxfId="507" priority="1504">
      <formula>#REF!="A"</formula>
    </cfRule>
    <cfRule type="expression" dxfId="506" priority="1503">
      <formula>#REF!="R"</formula>
    </cfRule>
    <cfRule type="cellIs" dxfId="505" priority="1505" operator="equal">
      <formula>"N"</formula>
    </cfRule>
    <cfRule type="expression" dxfId="504" priority="1506">
      <formula>#REF!="R"</formula>
    </cfRule>
  </conditionalFormatting>
  <conditionalFormatting sqref="Q5:Q11">
    <cfRule type="expression" dxfId="503" priority="14">
      <formula>#REF!="A"</formula>
    </cfRule>
    <cfRule type="expression" dxfId="502" priority="13">
      <formula>#REF!="R"</formula>
    </cfRule>
    <cfRule type="cellIs" dxfId="501" priority="15" operator="equal">
      <formula>"N"</formula>
    </cfRule>
  </conditionalFormatting>
  <conditionalFormatting sqref="Q15:Q23">
    <cfRule type="cellIs" dxfId="500" priority="1330" operator="equal">
      <formula>"N"</formula>
    </cfRule>
    <cfRule type="cellIs" dxfId="499" priority="1334" operator="equal">
      <formula>"N"</formula>
    </cfRule>
    <cfRule type="expression" dxfId="498" priority="1331">
      <formula>#REF!="A"</formula>
    </cfRule>
    <cfRule type="cellIs" dxfId="497" priority="1332" operator="equal">
      <formula>"N"</formula>
    </cfRule>
    <cfRule type="expression" dxfId="496" priority="1333">
      <formula>#REF!="R"</formula>
    </cfRule>
    <cfRule type="expression" dxfId="495" priority="1346">
      <formula>#REF!="A"</formula>
    </cfRule>
    <cfRule type="expression" dxfId="494" priority="1345">
      <formula>#REF!="R"</formula>
    </cfRule>
    <cfRule type="cellIs" dxfId="493" priority="1344" operator="equal">
      <formula>"N"</formula>
    </cfRule>
    <cfRule type="expression" dxfId="492" priority="1343">
      <formula>#REF!="A"</formula>
    </cfRule>
    <cfRule type="expression" dxfId="491" priority="1342">
      <formula>#REF!="R"</formula>
    </cfRule>
    <cfRule type="cellIs" dxfId="490" priority="1341" operator="equal">
      <formula>"N"</formula>
    </cfRule>
    <cfRule type="expression" dxfId="489" priority="1340">
      <formula>#REF!="A"</formula>
    </cfRule>
    <cfRule type="expression" dxfId="488" priority="1339">
      <formula>#REF!="R"</formula>
    </cfRule>
    <cfRule type="expression" dxfId="487" priority="1335">
      <formula>#REF!="A"</formula>
    </cfRule>
    <cfRule type="cellIs" dxfId="486" priority="1328" operator="equal">
      <formula>"N"</formula>
    </cfRule>
    <cfRule type="expression" dxfId="485" priority="1329">
      <formula>#REF!="R"</formula>
    </cfRule>
  </conditionalFormatting>
  <conditionalFormatting sqref="Q15:Q24">
    <cfRule type="cellIs" dxfId="484" priority="1347" operator="equal">
      <formula>"N"</formula>
    </cfRule>
  </conditionalFormatting>
  <conditionalFormatting sqref="Q25">
    <cfRule type="cellIs" dxfId="483" priority="1219" operator="equal">
      <formula>"N"</formula>
    </cfRule>
    <cfRule type="expression" dxfId="482" priority="1220">
      <formula>#REF!="R"</formula>
    </cfRule>
    <cfRule type="cellIs" dxfId="481" priority="1221" operator="equal">
      <formula>"N"</formula>
    </cfRule>
    <cfRule type="expression" dxfId="480" priority="1222">
      <formula>#REF!="A"</formula>
    </cfRule>
    <cfRule type="expression" dxfId="479" priority="1226">
      <formula>#REF!="R"</formula>
    </cfRule>
    <cfRule type="expression" dxfId="478" priority="1227">
      <formula>#REF!="A"</formula>
    </cfRule>
    <cfRule type="cellIs" dxfId="477" priority="1228" operator="equal">
      <formula>"N"</formula>
    </cfRule>
    <cfRule type="expression" dxfId="476" priority="1229">
      <formula>#REF!="R"</formula>
    </cfRule>
    <cfRule type="expression" dxfId="475" priority="1230">
      <formula>#REF!="A"</formula>
    </cfRule>
    <cfRule type="expression" dxfId="474" priority="1232">
      <formula>#REF!="R"</formula>
    </cfRule>
    <cfRule type="expression" dxfId="473" priority="1233">
      <formula>#REF!="A"</formula>
    </cfRule>
    <cfRule type="cellIs" dxfId="472" priority="1234" operator="equal">
      <formula>"N"</formula>
    </cfRule>
    <cfRule type="cellIs" dxfId="471" priority="1231" operator="equal">
      <formula>"N"</formula>
    </cfRule>
    <cfRule type="cellIs" dxfId="470" priority="1215" operator="equal">
      <formula>"N"</formula>
    </cfRule>
    <cfRule type="expression" dxfId="469" priority="1216">
      <formula>#REF!="R"</formula>
    </cfRule>
    <cfRule type="cellIs" dxfId="468" priority="1217" operator="equal">
      <formula>"N"</formula>
    </cfRule>
    <cfRule type="expression" dxfId="467" priority="1218">
      <formula>#REF!="A"</formula>
    </cfRule>
  </conditionalFormatting>
  <conditionalFormatting sqref="Q83">
    <cfRule type="cellIs" dxfId="466" priority="609" operator="equal">
      <formula>"N"</formula>
    </cfRule>
    <cfRule type="expression" dxfId="465" priority="610">
      <formula>#REF!="R"</formula>
    </cfRule>
    <cfRule type="expression" dxfId="464" priority="611">
      <formula>#REF!="A"</formula>
    </cfRule>
  </conditionalFormatting>
  <conditionalFormatting sqref="Q97">
    <cfRule type="cellIs" dxfId="463" priority="598" operator="equal">
      <formula>"N"</formula>
    </cfRule>
    <cfRule type="expression" dxfId="462" priority="600">
      <formula>#REF!="A"</formula>
    </cfRule>
    <cfRule type="expression" dxfId="461" priority="599">
      <formula>#REF!="R"</formula>
    </cfRule>
  </conditionalFormatting>
  <conditionalFormatting sqref="Q113 Q121:R124">
    <cfRule type="expression" dxfId="460" priority="553">
      <formula>#REF!="A"</formula>
    </cfRule>
  </conditionalFormatting>
  <conditionalFormatting sqref="Q128 Q136:R138">
    <cfRule type="expression" dxfId="459" priority="539">
      <formula>#REF!="A"</formula>
    </cfRule>
  </conditionalFormatting>
  <conditionalFormatting sqref="Q142 Q150:R152">
    <cfRule type="expression" dxfId="458" priority="501">
      <formula>#REF!="A"</formula>
    </cfRule>
  </conditionalFormatting>
  <conditionalFormatting sqref="Q156 Q164:R166">
    <cfRule type="expression" dxfId="457" priority="493">
      <formula>#REF!="A"</formula>
    </cfRule>
  </conditionalFormatting>
  <conditionalFormatting sqref="Q170 Q178:R184">
    <cfRule type="expression" dxfId="456" priority="206">
      <formula>#REF!="A"</formula>
    </cfRule>
  </conditionalFormatting>
  <conditionalFormatting sqref="Q188 Q196:R202">
    <cfRule type="expression" dxfId="455" priority="195">
      <formula>#REF!="A"</formula>
    </cfRule>
  </conditionalFormatting>
  <conditionalFormatting sqref="Q206 Q214:R220">
    <cfRule type="expression" dxfId="454" priority="187">
      <formula>#REF!="A"</formula>
    </cfRule>
  </conditionalFormatting>
  <conditionalFormatting sqref="Q224 Q232:R238">
    <cfRule type="expression" dxfId="453" priority="179">
      <formula>#REF!="A"</formula>
    </cfRule>
  </conditionalFormatting>
  <conditionalFormatting sqref="Q242 Q250:R256">
    <cfRule type="expression" dxfId="452" priority="171">
      <formula>#REF!="A"</formula>
    </cfRule>
  </conditionalFormatting>
  <conditionalFormatting sqref="Q260 Q268:R274">
    <cfRule type="expression" dxfId="451" priority="163">
      <formula>#REF!="A"</formula>
    </cfRule>
  </conditionalFormatting>
  <conditionalFormatting sqref="Q84:R94">
    <cfRule type="expression" dxfId="450" priority="613">
      <formula>#REF!="R"</formula>
    </cfRule>
    <cfRule type="cellIs" dxfId="449" priority="612" operator="equal">
      <formula>"N"</formula>
    </cfRule>
    <cfRule type="expression" dxfId="448" priority="614">
      <formula>#REF!="A"</formula>
    </cfRule>
  </conditionalFormatting>
  <conditionalFormatting sqref="Q112:R112">
    <cfRule type="expression" dxfId="447" priority="541">
      <formula>#REF!="R"</formula>
    </cfRule>
    <cfRule type="cellIs" dxfId="446" priority="540" operator="equal">
      <formula>"N"</formula>
    </cfRule>
    <cfRule type="expression" dxfId="445" priority="542">
      <formula>#REF!="A"</formula>
    </cfRule>
  </conditionalFormatting>
  <conditionalFormatting sqref="Q113:R124">
    <cfRule type="expression" dxfId="444" priority="550">
      <formula>#REF!="R"</formula>
    </cfRule>
  </conditionalFormatting>
  <conditionalFormatting sqref="Q121:R124 Q113">
    <cfRule type="cellIs" dxfId="443" priority="552" operator="equal">
      <formula>"N"</formula>
    </cfRule>
  </conditionalFormatting>
  <conditionalFormatting sqref="Q127:R127">
    <cfRule type="cellIs" dxfId="442" priority="532" operator="equal">
      <formula>"N"</formula>
    </cfRule>
    <cfRule type="expression" dxfId="441" priority="534">
      <formula>#REF!="A"</formula>
    </cfRule>
    <cfRule type="expression" dxfId="440" priority="533">
      <formula>#REF!="R"</formula>
    </cfRule>
  </conditionalFormatting>
  <conditionalFormatting sqref="Q128:R138">
    <cfRule type="expression" dxfId="439" priority="536">
      <formula>#REF!="R"</formula>
    </cfRule>
  </conditionalFormatting>
  <conditionalFormatting sqref="Q136:R138 Q128">
    <cfRule type="cellIs" dxfId="438" priority="538" operator="equal">
      <formula>"N"</formula>
    </cfRule>
  </conditionalFormatting>
  <conditionalFormatting sqref="Q139:R139">
    <cfRule type="cellIs" dxfId="437" priority="529" operator="equal">
      <formula>"N"</formula>
    </cfRule>
    <cfRule type="expression" dxfId="436" priority="531">
      <formula>#REF!="A"</formula>
    </cfRule>
    <cfRule type="expression" dxfId="435" priority="530">
      <formula>#REF!="R"</formula>
    </cfRule>
  </conditionalFormatting>
  <conditionalFormatting sqref="Q141:R141">
    <cfRule type="expression" dxfId="434" priority="485">
      <formula>#REF!="A"</formula>
    </cfRule>
    <cfRule type="cellIs" dxfId="433" priority="483" operator="equal">
      <formula>"N"</formula>
    </cfRule>
    <cfRule type="expression" dxfId="432" priority="484">
      <formula>#REF!="R"</formula>
    </cfRule>
  </conditionalFormatting>
  <conditionalFormatting sqref="Q142:R152">
    <cfRule type="expression" dxfId="431" priority="498">
      <formula>#REF!="R"</formula>
    </cfRule>
  </conditionalFormatting>
  <conditionalFormatting sqref="Q150:R152 Q142">
    <cfRule type="cellIs" dxfId="430" priority="500" operator="equal">
      <formula>"N"</formula>
    </cfRule>
  </conditionalFormatting>
  <conditionalFormatting sqref="Q155:R155">
    <cfRule type="expression" dxfId="429" priority="482">
      <formula>#REF!="A"</formula>
    </cfRule>
    <cfRule type="expression" dxfId="428" priority="481">
      <formula>#REF!="R"</formula>
    </cfRule>
    <cfRule type="cellIs" dxfId="427" priority="480" operator="equal">
      <formula>"N"</formula>
    </cfRule>
  </conditionalFormatting>
  <conditionalFormatting sqref="Q156:R166">
    <cfRule type="expression" dxfId="426" priority="490">
      <formula>#REF!="R"</formula>
    </cfRule>
  </conditionalFormatting>
  <conditionalFormatting sqref="Q164:R166 Q156">
    <cfRule type="cellIs" dxfId="425" priority="492" operator="equal">
      <formula>"N"</formula>
    </cfRule>
  </conditionalFormatting>
  <conditionalFormatting sqref="Q169:R169">
    <cfRule type="expression" dxfId="424" priority="198">
      <formula>#REF!="A"</formula>
    </cfRule>
    <cfRule type="expression" dxfId="423" priority="197">
      <formula>#REF!="R"</formula>
    </cfRule>
    <cfRule type="cellIs" dxfId="422" priority="196" operator="equal">
      <formula>"N"</formula>
    </cfRule>
  </conditionalFormatting>
  <conditionalFormatting sqref="Q170:R184">
    <cfRule type="expression" dxfId="421" priority="203">
      <formula>#REF!="R"</formula>
    </cfRule>
  </conditionalFormatting>
  <conditionalFormatting sqref="Q178:R184 Q170">
    <cfRule type="cellIs" dxfId="420" priority="205" operator="equal">
      <formula>"N"</formula>
    </cfRule>
  </conditionalFormatting>
  <conditionalFormatting sqref="Q187:R187">
    <cfRule type="cellIs" dxfId="419" priority="153" operator="equal">
      <formula>"N"</formula>
    </cfRule>
    <cfRule type="expression" dxfId="418" priority="154">
      <formula>#REF!="R"</formula>
    </cfRule>
    <cfRule type="expression" dxfId="417" priority="155">
      <formula>#REF!="A"</formula>
    </cfRule>
  </conditionalFormatting>
  <conditionalFormatting sqref="Q188:R202">
    <cfRule type="expression" dxfId="416" priority="192">
      <formula>#REF!="R"</formula>
    </cfRule>
  </conditionalFormatting>
  <conditionalFormatting sqref="Q196:R202 Q188">
    <cfRule type="cellIs" dxfId="415" priority="194" operator="equal">
      <formula>"N"</formula>
    </cfRule>
  </conditionalFormatting>
  <conditionalFormatting sqref="Q205:R205">
    <cfRule type="cellIs" dxfId="414" priority="150" operator="equal">
      <formula>"N"</formula>
    </cfRule>
    <cfRule type="expression" dxfId="413" priority="151">
      <formula>#REF!="R"</formula>
    </cfRule>
    <cfRule type="expression" dxfId="412" priority="152">
      <formula>#REF!="A"</formula>
    </cfRule>
  </conditionalFormatting>
  <conditionalFormatting sqref="Q206:R220">
    <cfRule type="expression" dxfId="411" priority="184">
      <formula>#REF!="R"</formula>
    </cfRule>
  </conditionalFormatting>
  <conditionalFormatting sqref="Q214:R220 Q206">
    <cfRule type="cellIs" dxfId="410" priority="186" operator="equal">
      <formula>"N"</formula>
    </cfRule>
  </conditionalFormatting>
  <conditionalFormatting sqref="Q223:R223">
    <cfRule type="cellIs" dxfId="409" priority="147" operator="equal">
      <formula>"N"</formula>
    </cfRule>
    <cfRule type="expression" dxfId="408" priority="148">
      <formula>#REF!="R"</formula>
    </cfRule>
    <cfRule type="expression" dxfId="407" priority="149">
      <formula>#REF!="A"</formula>
    </cfRule>
  </conditionalFormatting>
  <conditionalFormatting sqref="Q224:R238">
    <cfRule type="expression" dxfId="406" priority="176">
      <formula>#REF!="R"</formula>
    </cfRule>
  </conditionalFormatting>
  <conditionalFormatting sqref="Q232:R238 Q224">
    <cfRule type="cellIs" dxfId="405" priority="178" operator="equal">
      <formula>"N"</formula>
    </cfRule>
  </conditionalFormatting>
  <conditionalFormatting sqref="Q241:R241">
    <cfRule type="cellIs" dxfId="404" priority="144" operator="equal">
      <formula>"N"</formula>
    </cfRule>
    <cfRule type="expression" dxfId="403" priority="145">
      <formula>#REF!="R"</formula>
    </cfRule>
    <cfRule type="expression" dxfId="402" priority="146">
      <formula>#REF!="A"</formula>
    </cfRule>
  </conditionalFormatting>
  <conditionalFormatting sqref="Q242:R256">
    <cfRule type="expression" dxfId="401" priority="168">
      <formula>#REF!="R"</formula>
    </cfRule>
  </conditionalFormatting>
  <conditionalFormatting sqref="Q250:R256 Q242">
    <cfRule type="cellIs" dxfId="400" priority="170" operator="equal">
      <formula>"N"</formula>
    </cfRule>
  </conditionalFormatting>
  <conditionalFormatting sqref="Q259:R259">
    <cfRule type="cellIs" dxfId="399" priority="141" operator="equal">
      <formula>"N"</formula>
    </cfRule>
    <cfRule type="expression" dxfId="398" priority="143">
      <formula>#REF!="A"</formula>
    </cfRule>
    <cfRule type="expression" dxfId="397" priority="142">
      <formula>#REF!="R"</formula>
    </cfRule>
  </conditionalFormatting>
  <conditionalFormatting sqref="Q260:R274">
    <cfRule type="expression" dxfId="396" priority="160">
      <formula>#REF!="R"</formula>
    </cfRule>
  </conditionalFormatting>
  <conditionalFormatting sqref="Q268:R274 Q260">
    <cfRule type="cellIs" dxfId="395" priority="162" operator="equal">
      <formula>"N"</formula>
    </cfRule>
  </conditionalFormatting>
  <conditionalFormatting sqref="Q5:Z12">
    <cfRule type="expression" dxfId="394" priority="1605">
      <formula>#REF!="A"</formula>
    </cfRule>
    <cfRule type="cellIs" dxfId="393" priority="1606" operator="equal">
      <formula>"N"</formula>
    </cfRule>
    <cfRule type="expression" dxfId="392" priority="1604">
      <formula>#REF!="R"</formula>
    </cfRule>
  </conditionalFormatting>
  <conditionalFormatting sqref="R5:R11">
    <cfRule type="expression" dxfId="391" priority="17">
      <formula>#REF!="A"</formula>
    </cfRule>
    <cfRule type="cellIs" dxfId="390" priority="18" operator="equal">
      <formula>"N"</formula>
    </cfRule>
    <cfRule type="expression" dxfId="389" priority="16">
      <formula>#REF!="R"</formula>
    </cfRule>
  </conditionalFormatting>
  <conditionalFormatting sqref="R13:R14">
    <cfRule type="cellIs" dxfId="388" priority="1580" operator="equal">
      <formula>"N"</formula>
    </cfRule>
    <cfRule type="expression" dxfId="387" priority="1579">
      <formula>#REF!="A"</formula>
    </cfRule>
    <cfRule type="cellIs" dxfId="386" priority="1583" operator="equal">
      <formula>"N"</formula>
    </cfRule>
    <cfRule type="expression" dxfId="385" priority="1582">
      <formula>#REF!="A"</formula>
    </cfRule>
    <cfRule type="expression" dxfId="384" priority="1578">
      <formula>#REF!="R"</formula>
    </cfRule>
    <cfRule type="cellIs" dxfId="383" priority="1586" operator="equal">
      <formula>"N"</formula>
    </cfRule>
    <cfRule type="expression" dxfId="382" priority="1585">
      <formula>#REF!="A"</formula>
    </cfRule>
    <cfRule type="expression" dxfId="381" priority="1584">
      <formula>#REF!="R"</formula>
    </cfRule>
    <cfRule type="expression" dxfId="380" priority="1581">
      <formula>#REF!="R"</formula>
    </cfRule>
  </conditionalFormatting>
  <conditionalFormatting sqref="R14">
    <cfRule type="expression" dxfId="379" priority="1512">
      <formula>#REF!="R"</formula>
    </cfRule>
    <cfRule type="cellIs" dxfId="378" priority="1513" operator="equal">
      <formula>"N"</formula>
    </cfRule>
    <cfRule type="cellIs" dxfId="377" priority="1517" operator="equal">
      <formula>"N"</formula>
    </cfRule>
    <cfRule type="expression" dxfId="376" priority="1516">
      <formula>#REF!="R"</formula>
    </cfRule>
    <cfRule type="cellIs" dxfId="375" priority="1515" operator="equal">
      <formula>"N"</formula>
    </cfRule>
    <cfRule type="expression" dxfId="374" priority="1514">
      <formula>#REF!="A"</formula>
    </cfRule>
    <cfRule type="expression" dxfId="373" priority="1518">
      <formula>#REF!="A"</formula>
    </cfRule>
  </conditionalFormatting>
  <conditionalFormatting sqref="R14:R24">
    <cfRule type="cellIs" dxfId="372" priority="1264" operator="equal">
      <formula>"N"</formula>
    </cfRule>
  </conditionalFormatting>
  <conditionalFormatting sqref="R15:R23">
    <cfRule type="expression" dxfId="371" priority="1261">
      <formula>#REF!="A"</formula>
    </cfRule>
    <cfRule type="cellIs" dxfId="370" priority="1262" operator="equal">
      <formula>"N"</formula>
    </cfRule>
    <cfRule type="expression" dxfId="369" priority="1263">
      <formula>#REF!="R"</formula>
    </cfRule>
    <cfRule type="cellIs" dxfId="368" priority="1260" operator="equal">
      <formula>"N"</formula>
    </cfRule>
    <cfRule type="expression" dxfId="367" priority="1265">
      <formula>#REF!="A"</formula>
    </cfRule>
    <cfRule type="cellIs" dxfId="366" priority="1258" operator="equal">
      <formula>"N"</formula>
    </cfRule>
    <cfRule type="expression" dxfId="365" priority="1259">
      <formula>#REF!="R"</formula>
    </cfRule>
  </conditionalFormatting>
  <conditionalFormatting sqref="R24:R25">
    <cfRule type="expression" dxfId="364" priority="1150">
      <formula>#REF!="R"</formula>
    </cfRule>
    <cfRule type="expression" dxfId="363" priority="1152">
      <formula>#REF!="A"</formula>
    </cfRule>
  </conditionalFormatting>
  <conditionalFormatting sqref="R25">
    <cfRule type="cellIs" dxfId="362" priority="1147" operator="equal">
      <formula>"N"</formula>
    </cfRule>
    <cfRule type="cellIs" dxfId="361" priority="1145" operator="equal">
      <formula>"N"</formula>
    </cfRule>
    <cfRule type="expression" dxfId="360" priority="1146">
      <formula>#REF!="R"</formula>
    </cfRule>
    <cfRule type="expression" dxfId="359" priority="1148">
      <formula>#REF!="A"</formula>
    </cfRule>
    <cfRule type="cellIs" dxfId="358" priority="1149" operator="equal">
      <formula>"N"</formula>
    </cfRule>
    <cfRule type="cellIs" dxfId="357" priority="1151" operator="equal">
      <formula>"N"</formula>
    </cfRule>
  </conditionalFormatting>
  <conditionalFormatting sqref="R83">
    <cfRule type="cellIs" dxfId="356" priority="606" operator="equal">
      <formula>"N"</formula>
    </cfRule>
    <cfRule type="expression" dxfId="355" priority="607">
      <formula>#REF!="R"</formula>
    </cfRule>
    <cfRule type="expression" dxfId="354" priority="608">
      <formula>#REF!="A"</formula>
    </cfRule>
  </conditionalFormatting>
  <conditionalFormatting sqref="R97">
    <cfRule type="expression" dxfId="353" priority="597">
      <formula>#REF!="A"</formula>
    </cfRule>
    <cfRule type="expression" dxfId="352" priority="596">
      <formula>#REF!="R"</formula>
    </cfRule>
  </conditionalFormatting>
  <conditionalFormatting sqref="R97:R109">
    <cfRule type="cellIs" dxfId="351" priority="595" operator="equal">
      <formula>"N"</formula>
    </cfRule>
  </conditionalFormatting>
  <conditionalFormatting sqref="R113:R124 Q114:Q124">
    <cfRule type="cellIs" dxfId="350" priority="549" operator="equal">
      <formula>"N"</formula>
    </cfRule>
    <cfRule type="expression" dxfId="349" priority="551">
      <formula>#REF!="A"</formula>
    </cfRule>
  </conditionalFormatting>
  <conditionalFormatting sqref="R128:R138 Q129:Q138">
    <cfRule type="expression" dxfId="348" priority="537">
      <formula>#REF!="A"</formula>
    </cfRule>
    <cfRule type="cellIs" dxfId="347" priority="535" operator="equal">
      <formula>"N"</formula>
    </cfRule>
  </conditionalFormatting>
  <conditionalFormatting sqref="R142:R152 Q143:Q152">
    <cfRule type="cellIs" dxfId="346" priority="497" operator="equal">
      <formula>"N"</formula>
    </cfRule>
    <cfRule type="expression" dxfId="345" priority="499">
      <formula>#REF!="A"</formula>
    </cfRule>
  </conditionalFormatting>
  <conditionalFormatting sqref="R156:R166 Q157:Q166">
    <cfRule type="cellIs" dxfId="344" priority="489" operator="equal">
      <formula>"N"</formula>
    </cfRule>
    <cfRule type="expression" dxfId="343" priority="491">
      <formula>#REF!="A"</formula>
    </cfRule>
  </conditionalFormatting>
  <conditionalFormatting sqref="R170:R184 Q171:Q184">
    <cfRule type="cellIs" dxfId="342" priority="202" operator="equal">
      <formula>"N"</formula>
    </cfRule>
    <cfRule type="expression" dxfId="341" priority="204">
      <formula>#REF!="A"</formula>
    </cfRule>
  </conditionalFormatting>
  <conditionalFormatting sqref="R188:R202 Q189:Q202">
    <cfRule type="cellIs" dxfId="340" priority="191" operator="equal">
      <formula>"N"</formula>
    </cfRule>
    <cfRule type="expression" dxfId="339" priority="193">
      <formula>#REF!="A"</formula>
    </cfRule>
  </conditionalFormatting>
  <conditionalFormatting sqref="R206:R220 Q207:Q220">
    <cfRule type="expression" dxfId="338" priority="185">
      <formula>#REF!="A"</formula>
    </cfRule>
    <cfRule type="cellIs" dxfId="337" priority="183" operator="equal">
      <formula>"N"</formula>
    </cfRule>
  </conditionalFormatting>
  <conditionalFormatting sqref="R224:R238 Q225:Q238">
    <cfRule type="expression" dxfId="336" priority="177">
      <formula>#REF!="A"</formula>
    </cfRule>
    <cfRule type="cellIs" dxfId="335" priority="175" operator="equal">
      <formula>"N"</formula>
    </cfRule>
  </conditionalFormatting>
  <conditionalFormatting sqref="R242:R256 Q243:Q256">
    <cfRule type="expression" dxfId="334" priority="169">
      <formula>#REF!="A"</formula>
    </cfRule>
    <cfRule type="cellIs" dxfId="333" priority="167" operator="equal">
      <formula>"N"</formula>
    </cfRule>
  </conditionalFormatting>
  <conditionalFormatting sqref="R260:R274 Q261:Q274">
    <cfRule type="expression" dxfId="332" priority="161">
      <formula>#REF!="A"</formula>
    </cfRule>
    <cfRule type="cellIs" dxfId="331" priority="159" operator="equal">
      <formula>"N"</formula>
    </cfRule>
  </conditionalFormatting>
  <conditionalFormatting sqref="S5:S11">
    <cfRule type="cellIs" dxfId="330" priority="12" operator="equal">
      <formula>"N"</formula>
    </cfRule>
    <cfRule type="expression" dxfId="329" priority="11">
      <formula>#REF!="A"</formula>
    </cfRule>
    <cfRule type="expression" dxfId="328" priority="10">
      <formula>#REF!="R"</formula>
    </cfRule>
  </conditionalFormatting>
  <conditionalFormatting sqref="S14">
    <cfRule type="expression" dxfId="327" priority="1434">
      <formula>#REF!="R"</formula>
    </cfRule>
    <cfRule type="expression" dxfId="326" priority="1436">
      <formula>#REF!="A"</formula>
    </cfRule>
    <cfRule type="cellIs" dxfId="325" priority="1437" operator="equal">
      <formula>"N"</formula>
    </cfRule>
    <cfRule type="expression" dxfId="324" priority="1438">
      <formula>#REF!="R"</formula>
    </cfRule>
    <cfRule type="cellIs" dxfId="323" priority="1439" operator="equal">
      <formula>"N"</formula>
    </cfRule>
    <cfRule type="expression" dxfId="322" priority="1440">
      <formula>#REF!="A"</formula>
    </cfRule>
    <cfRule type="cellIs" dxfId="321" priority="1435" operator="equal">
      <formula>"N"</formula>
    </cfRule>
  </conditionalFormatting>
  <conditionalFormatting sqref="S14:S24">
    <cfRule type="cellIs" dxfId="320" priority="1326" operator="equal">
      <formula>"N"</formula>
    </cfRule>
  </conditionalFormatting>
  <conditionalFormatting sqref="S15:S23">
    <cfRule type="cellIs" dxfId="319" priority="1316" operator="equal">
      <formula>"N"</formula>
    </cfRule>
    <cfRule type="expression" dxfId="318" priority="1315">
      <formula>#REF!="R"</formula>
    </cfRule>
    <cfRule type="cellIs" dxfId="317" priority="1314" operator="equal">
      <formula>"N"</formula>
    </cfRule>
    <cfRule type="expression" dxfId="316" priority="1313">
      <formula>#REF!="A"</formula>
    </cfRule>
    <cfRule type="cellIs" dxfId="315" priority="1312" operator="equal">
      <formula>"N"</formula>
    </cfRule>
    <cfRule type="expression" dxfId="314" priority="1311">
      <formula>#REF!="R"</formula>
    </cfRule>
    <cfRule type="cellIs" dxfId="313" priority="1310" operator="equal">
      <formula>"N"</formula>
    </cfRule>
    <cfRule type="expression" dxfId="312" priority="1317">
      <formula>#REF!="A"</formula>
    </cfRule>
    <cfRule type="expression" dxfId="311" priority="1318">
      <formula>#REF!="R"</formula>
    </cfRule>
    <cfRule type="expression" dxfId="310" priority="1319">
      <formula>#REF!="A"</formula>
    </cfRule>
    <cfRule type="cellIs" dxfId="309" priority="1320" operator="equal">
      <formula>"N"</formula>
    </cfRule>
    <cfRule type="expression" dxfId="308" priority="1321">
      <formula>#REF!="R"</formula>
    </cfRule>
    <cfRule type="cellIs" dxfId="307" priority="1323" operator="equal">
      <formula>"N"</formula>
    </cfRule>
    <cfRule type="expression" dxfId="306" priority="1324">
      <formula>#REF!="R"</formula>
    </cfRule>
    <cfRule type="expression" dxfId="305" priority="1325">
      <formula>#REF!="A"</formula>
    </cfRule>
    <cfRule type="expression" dxfId="304" priority="1322">
      <formula>#REF!="A"</formula>
    </cfRule>
  </conditionalFormatting>
  <conditionalFormatting sqref="S25">
    <cfRule type="expression" dxfId="303" priority="1212">
      <formula>#REF!="A"</formula>
    </cfRule>
    <cfRule type="expression" dxfId="302" priority="1211">
      <formula>#REF!="R"</formula>
    </cfRule>
    <cfRule type="cellIs" dxfId="301" priority="1213" operator="equal">
      <formula>"N"</formula>
    </cfRule>
    <cfRule type="expression" dxfId="300" priority="1206">
      <formula>#REF!="A"</formula>
    </cfRule>
    <cfRule type="cellIs" dxfId="299" priority="1197" operator="equal">
      <formula>"N"</formula>
    </cfRule>
    <cfRule type="expression" dxfId="298" priority="1198">
      <formula>#REF!="R"</formula>
    </cfRule>
    <cfRule type="cellIs" dxfId="297" priority="1199" operator="equal">
      <formula>"N"</formula>
    </cfRule>
    <cfRule type="expression" dxfId="296" priority="1200">
      <formula>#REF!="A"</formula>
    </cfRule>
    <cfRule type="cellIs" dxfId="295" priority="1201" operator="equal">
      <formula>"N"</formula>
    </cfRule>
    <cfRule type="expression" dxfId="294" priority="1202">
      <formula>#REF!="R"</formula>
    </cfRule>
    <cfRule type="expression" dxfId="293" priority="1208">
      <formula>#REF!="R"</formula>
    </cfRule>
    <cfRule type="cellIs" dxfId="292" priority="1207" operator="equal">
      <formula>"N"</formula>
    </cfRule>
    <cfRule type="expression" dxfId="291" priority="1205">
      <formula>#REF!="R"</formula>
    </cfRule>
    <cfRule type="expression" dxfId="290" priority="1209">
      <formula>#REF!="A"</formula>
    </cfRule>
    <cfRule type="cellIs" dxfId="289" priority="1210" operator="equal">
      <formula>"N"</formula>
    </cfRule>
    <cfRule type="cellIs" dxfId="288" priority="1203" operator="equal">
      <formula>"N"</formula>
    </cfRule>
    <cfRule type="expression" dxfId="287" priority="1204">
      <formula>#REF!="A"</formula>
    </cfRule>
  </conditionalFormatting>
  <conditionalFormatting sqref="T13">
    <cfRule type="cellIs" dxfId="286" priority="1576" operator="equal">
      <formula>"N"</formula>
    </cfRule>
    <cfRule type="expression" dxfId="285" priority="1575">
      <formula>#REF!="A"</formula>
    </cfRule>
    <cfRule type="expression" dxfId="284" priority="1574">
      <formula>#REF!="R"</formula>
    </cfRule>
    <cfRule type="cellIs" dxfId="283" priority="1573" operator="equal">
      <formula>"N"</formula>
    </cfRule>
    <cfRule type="expression" dxfId="282" priority="1572">
      <formula>#REF!="A"</formula>
    </cfRule>
    <cfRule type="expression" dxfId="281" priority="1571">
      <formula>#REF!="R"</formula>
    </cfRule>
  </conditionalFormatting>
  <conditionalFormatting sqref="T13:T14">
    <cfRule type="expression" dxfId="280" priority="1499">
      <formula>#REF!="R"</formula>
    </cfRule>
    <cfRule type="expression" dxfId="279" priority="1500">
      <formula>#REF!="A"</formula>
    </cfRule>
  </conditionalFormatting>
  <conditionalFormatting sqref="T13:T23">
    <cfRule type="cellIs" dxfId="278" priority="1501" operator="equal">
      <formula>"N"</formula>
    </cfRule>
  </conditionalFormatting>
  <conditionalFormatting sqref="T14">
    <cfRule type="cellIs" dxfId="277" priority="1489" operator="equal">
      <formula>"N"</formula>
    </cfRule>
    <cfRule type="expression" dxfId="276" priority="1490">
      <formula>#REF!="R"</formula>
    </cfRule>
    <cfRule type="cellIs" dxfId="275" priority="1491" operator="equal">
      <formula>"N"</formula>
    </cfRule>
    <cfRule type="expression" dxfId="274" priority="1492">
      <formula>#REF!="A"</formula>
    </cfRule>
    <cfRule type="expression" dxfId="273" priority="1493">
      <formula>#REF!="R"</formula>
    </cfRule>
    <cfRule type="expression" dxfId="272" priority="1494">
      <formula>#REF!="A"</formula>
    </cfRule>
    <cfRule type="cellIs" dxfId="271" priority="1495" operator="equal">
      <formula>"N"</formula>
    </cfRule>
    <cfRule type="cellIs" dxfId="270" priority="1498" operator="equal">
      <formula>"N"</formula>
    </cfRule>
    <cfRule type="expression" dxfId="269" priority="1486">
      <formula>#REF!="R"</formula>
    </cfRule>
    <cfRule type="cellIs" dxfId="268" priority="1487" operator="equal">
      <formula>"N"</formula>
    </cfRule>
    <cfRule type="expression" dxfId="267" priority="1488">
      <formula>#REF!="A"</formula>
    </cfRule>
  </conditionalFormatting>
  <conditionalFormatting sqref="T14:T23">
    <cfRule type="expression" dxfId="266" priority="1496">
      <formula>#REF!="R"</formula>
    </cfRule>
    <cfRule type="expression" dxfId="265" priority="1497">
      <formula>#REF!="A"</formula>
    </cfRule>
  </conditionalFormatting>
  <conditionalFormatting sqref="T14:T24">
    <cfRule type="cellIs" dxfId="264" priority="1366" operator="equal">
      <formula>"N"</formula>
    </cfRule>
  </conditionalFormatting>
  <conditionalFormatting sqref="T15:T23">
    <cfRule type="expression" dxfId="263" priority="1361">
      <formula>#REF!="R"</formula>
    </cfRule>
    <cfRule type="expression" dxfId="262" priority="1362">
      <formula>#REF!="A"</formula>
    </cfRule>
    <cfRule type="cellIs" dxfId="261" priority="1363" operator="equal">
      <formula>"N"</formula>
    </cfRule>
  </conditionalFormatting>
  <conditionalFormatting sqref="T15:T27">
    <cfRule type="expression" dxfId="260" priority="1364">
      <formula>#REF!="R"</formula>
    </cfRule>
    <cfRule type="expression" dxfId="259" priority="1365">
      <formula>#REF!="A"</formula>
    </cfRule>
  </conditionalFormatting>
  <conditionalFormatting sqref="T25:T27">
    <cfRule type="cellIs" dxfId="258" priority="1250" operator="equal">
      <formula>"N"</formula>
    </cfRule>
    <cfRule type="cellIs" dxfId="257" priority="1253" operator="equal">
      <formula>"N"</formula>
    </cfRule>
    <cfRule type="expression" dxfId="256" priority="1251">
      <formula>#REF!="R"</formula>
    </cfRule>
    <cfRule type="expression" dxfId="255" priority="1252">
      <formula>#REF!="A"</formula>
    </cfRule>
    <cfRule type="expression" dxfId="254" priority="1248">
      <formula>#REF!="R"</formula>
    </cfRule>
    <cfRule type="expression" dxfId="253" priority="1249">
      <formula>#REF!="A"</formula>
    </cfRule>
  </conditionalFormatting>
  <conditionalFormatting sqref="U5:U11">
    <cfRule type="expression" dxfId="252" priority="7">
      <formula>#REF!="R"</formula>
    </cfRule>
    <cfRule type="expression" dxfId="251" priority="8">
      <formula>#REF!="A"</formula>
    </cfRule>
    <cfRule type="cellIs" dxfId="250" priority="9" operator="equal">
      <formula>"N"</formula>
    </cfRule>
  </conditionalFormatting>
  <conditionalFormatting sqref="U13:U14 O24:W24 W14 O4:U5 Q5:Z5 O14:Q14 O15:P15 O16:O21">
    <cfRule type="expression" dxfId="249" priority="1715">
      <formula>#REF!="R"</formula>
    </cfRule>
  </conditionalFormatting>
  <conditionalFormatting sqref="U13:U14">
    <cfRule type="cellIs" dxfId="248" priority="1725" operator="equal">
      <formula>"N"</formula>
    </cfRule>
  </conditionalFormatting>
  <conditionalFormatting sqref="U14">
    <cfRule type="expression" dxfId="247" priority="1723">
      <formula>#REF!="R"</formula>
    </cfRule>
    <cfRule type="cellIs" dxfId="246" priority="1722" operator="equal">
      <formula>"N"</formula>
    </cfRule>
    <cfRule type="expression" dxfId="245" priority="1721">
      <formula>#REF!="A"</formula>
    </cfRule>
    <cfRule type="expression" dxfId="244" priority="1720">
      <formula>#REF!="R"</formula>
    </cfRule>
    <cfRule type="expression" dxfId="243" priority="1724">
      <formula>#REF!="A"</formula>
    </cfRule>
  </conditionalFormatting>
  <conditionalFormatting sqref="U15:U23">
    <cfRule type="cellIs" dxfId="242" priority="1305" operator="equal">
      <formula>"N"</formula>
    </cfRule>
    <cfRule type="cellIs" dxfId="241" priority="1296" operator="equal">
      <formula>"N"</formula>
    </cfRule>
    <cfRule type="expression" dxfId="240" priority="1301">
      <formula>#REF!="A"</formula>
    </cfRule>
    <cfRule type="expression" dxfId="239" priority="1300">
      <formula>#REF!="R"</formula>
    </cfRule>
    <cfRule type="expression" dxfId="238" priority="1299">
      <formula>#REF!="A"</formula>
    </cfRule>
    <cfRule type="expression" dxfId="237" priority="1307">
      <formula>#REF!="A"</formula>
    </cfRule>
    <cfRule type="expression" dxfId="236" priority="1306">
      <formula>#REF!="R"</formula>
    </cfRule>
    <cfRule type="expression" dxfId="235" priority="1304">
      <formula>#REF!="A"</formula>
    </cfRule>
    <cfRule type="expression" dxfId="234" priority="1303">
      <formula>#REF!="R"</formula>
    </cfRule>
    <cfRule type="expression" dxfId="233" priority="1295">
      <formula>#REF!="A"</formula>
    </cfRule>
    <cfRule type="cellIs" dxfId="232" priority="1294" operator="equal">
      <formula>"N"</formula>
    </cfRule>
    <cfRule type="expression" dxfId="231" priority="1293">
      <formula>#REF!="R"</formula>
    </cfRule>
    <cfRule type="cellIs" dxfId="230" priority="1292" operator="equal">
      <formula>"N"</formula>
    </cfRule>
    <cfRule type="cellIs" dxfId="229" priority="1308" operator="equal">
      <formula>"N"</formula>
    </cfRule>
    <cfRule type="cellIs" dxfId="228" priority="1298" operator="equal">
      <formula>"N"</formula>
    </cfRule>
    <cfRule type="expression" dxfId="227" priority="1297">
      <formula>#REF!="R"</formula>
    </cfRule>
    <cfRule type="cellIs" dxfId="226" priority="1302" operator="equal">
      <formula>"N"</formula>
    </cfRule>
  </conditionalFormatting>
  <conditionalFormatting sqref="U25:U27">
    <cfRule type="expression" dxfId="225" priority="1188">
      <formula>#REF!="A"</formula>
    </cfRule>
    <cfRule type="expression" dxfId="224" priority="1194">
      <formula>#REF!="A"</formula>
    </cfRule>
    <cfRule type="expression" dxfId="223" priority="1190">
      <formula>#REF!="R"</formula>
    </cfRule>
    <cfRule type="expression" dxfId="222" priority="1180">
      <formula>#REF!="R"</formula>
    </cfRule>
    <cfRule type="cellIs" dxfId="221" priority="1185" operator="equal">
      <formula>"N"</formula>
    </cfRule>
    <cfRule type="expression" dxfId="220" priority="1187">
      <formula>#REF!="R"</formula>
    </cfRule>
    <cfRule type="expression" dxfId="219" priority="1186">
      <formula>#REF!="A"</formula>
    </cfRule>
    <cfRule type="expression" dxfId="218" priority="1191">
      <formula>#REF!="A"</formula>
    </cfRule>
    <cfRule type="cellIs" dxfId="217" priority="1189" operator="equal">
      <formula>"N"</formula>
    </cfRule>
    <cfRule type="cellIs" dxfId="216" priority="1195" operator="equal">
      <formula>"N"</formula>
    </cfRule>
    <cfRule type="expression" dxfId="215" priority="1184">
      <formula>#REF!="R"</formula>
    </cfRule>
    <cfRule type="cellIs" dxfId="214" priority="1183" operator="equal">
      <formula>"N"</formula>
    </cfRule>
    <cfRule type="expression" dxfId="213" priority="1182">
      <formula>#REF!="A"</formula>
    </cfRule>
    <cfRule type="cellIs" dxfId="212" priority="1181" operator="equal">
      <formula>"N"</formula>
    </cfRule>
    <cfRule type="cellIs" dxfId="211" priority="1179" operator="equal">
      <formula>"N"</formula>
    </cfRule>
    <cfRule type="expression" dxfId="210" priority="1193">
      <formula>#REF!="R"</formula>
    </cfRule>
    <cfRule type="cellIs" dxfId="209" priority="1192" operator="equal">
      <formula>"N"</formula>
    </cfRule>
  </conditionalFormatting>
  <conditionalFormatting sqref="V4">
    <cfRule type="cellIs" dxfId="208" priority="1624" operator="equal">
      <formula>"N"</formula>
    </cfRule>
    <cfRule type="expression" dxfId="207" priority="1622">
      <formula>#REF!="R"</formula>
    </cfRule>
    <cfRule type="expression" dxfId="206" priority="1623">
      <formula>#REF!="A"</formula>
    </cfRule>
  </conditionalFormatting>
  <conditionalFormatting sqref="V13">
    <cfRule type="cellIs" dxfId="205" priority="1563" operator="equal">
      <formula>"N"</formula>
    </cfRule>
    <cfRule type="expression" dxfId="204" priority="1691">
      <formula>#REF!="A"</formula>
    </cfRule>
    <cfRule type="expression" dxfId="203" priority="1689">
      <formula>#REF!="R"</formula>
    </cfRule>
    <cfRule type="cellIs" dxfId="202" priority="1690" operator="equal">
      <formula>"N"</formula>
    </cfRule>
    <cfRule type="expression" dxfId="201" priority="1561">
      <formula>#REF!="R"</formula>
    </cfRule>
    <cfRule type="expression" dxfId="200" priority="1562">
      <formula>#REF!="A"</formula>
    </cfRule>
    <cfRule type="expression" dxfId="199" priority="1564">
      <formula>#REF!="R"</formula>
    </cfRule>
    <cfRule type="expression" dxfId="198" priority="1565">
      <formula>#REF!="A"</formula>
    </cfRule>
    <cfRule type="cellIs" dxfId="197" priority="1566" operator="equal">
      <formula>"N"</formula>
    </cfRule>
  </conditionalFormatting>
  <conditionalFormatting sqref="V13:V14">
    <cfRule type="expression" dxfId="196" priority="1476">
      <formula>#REF!="A"</formula>
    </cfRule>
    <cfRule type="expression" dxfId="195" priority="1475">
      <formula>#REF!="R"</formula>
    </cfRule>
  </conditionalFormatting>
  <conditionalFormatting sqref="V13:V23">
    <cfRule type="cellIs" dxfId="194" priority="1483" operator="equal">
      <formula>"N"</formula>
    </cfRule>
  </conditionalFormatting>
  <conditionalFormatting sqref="V14">
    <cfRule type="expression" dxfId="193" priority="1474">
      <formula>#REF!="A"</formula>
    </cfRule>
    <cfRule type="cellIs" dxfId="192" priority="1473" operator="equal">
      <formula>"N"</formula>
    </cfRule>
    <cfRule type="expression" dxfId="191" priority="1470">
      <formula>#REF!="A"</formula>
    </cfRule>
    <cfRule type="expression" dxfId="190" priority="1472">
      <formula>#REF!="R"</formula>
    </cfRule>
    <cfRule type="cellIs" dxfId="189" priority="1471" operator="equal">
      <formula>"N"</formula>
    </cfRule>
    <cfRule type="expression" dxfId="188" priority="1479">
      <formula>#REF!="A"</formula>
    </cfRule>
    <cfRule type="cellIs" dxfId="187" priority="1480" operator="equal">
      <formula>"N"</formula>
    </cfRule>
    <cfRule type="expression" dxfId="186" priority="1481">
      <formula>#REF!="R"</formula>
    </cfRule>
    <cfRule type="cellIs" dxfId="185" priority="1477" operator="equal">
      <formula>"N"</formula>
    </cfRule>
    <cfRule type="expression" dxfId="184" priority="1468">
      <formula>#REF!="R"</formula>
    </cfRule>
    <cfRule type="cellIs" dxfId="183" priority="1469" operator="equal">
      <formula>"N"</formula>
    </cfRule>
  </conditionalFormatting>
  <conditionalFormatting sqref="V14:V23">
    <cfRule type="expression" dxfId="182" priority="1478">
      <formula>#REF!="R"</formula>
    </cfRule>
    <cfRule type="expression" dxfId="181" priority="1482">
      <formula>#REF!="A"</formula>
    </cfRule>
  </conditionalFormatting>
  <conditionalFormatting sqref="V14:V24">
    <cfRule type="cellIs" dxfId="180" priority="1360" operator="equal">
      <formula>"N"</formula>
    </cfRule>
  </conditionalFormatting>
  <conditionalFormatting sqref="V15:V23">
    <cfRule type="expression" dxfId="179" priority="1355">
      <formula>#REF!="R"</formula>
    </cfRule>
    <cfRule type="expression" dxfId="178" priority="1356">
      <formula>#REF!="A"</formula>
    </cfRule>
    <cfRule type="cellIs" dxfId="177" priority="1357" operator="equal">
      <formula>"N"</formula>
    </cfRule>
  </conditionalFormatting>
  <conditionalFormatting sqref="V15:V27">
    <cfRule type="expression" dxfId="176" priority="1358">
      <formula>#REF!="R"</formula>
    </cfRule>
    <cfRule type="expression" dxfId="175" priority="1359">
      <formula>#REF!="A"</formula>
    </cfRule>
  </conditionalFormatting>
  <conditionalFormatting sqref="V25:V27">
    <cfRule type="cellIs" dxfId="174" priority="1247" operator="equal">
      <formula>"N"</formula>
    </cfRule>
    <cfRule type="expression" dxfId="173" priority="1246">
      <formula>#REF!="A"</formula>
    </cfRule>
    <cfRule type="expression" dxfId="172" priority="1245">
      <formula>#REF!="R"</formula>
    </cfRule>
    <cfRule type="cellIs" dxfId="171" priority="1244" operator="equal">
      <formula>"N"</formula>
    </cfRule>
    <cfRule type="expression" dxfId="170" priority="1242">
      <formula>#REF!="R"</formula>
    </cfRule>
    <cfRule type="expression" dxfId="169" priority="1243">
      <formula>#REF!="A"</formula>
    </cfRule>
  </conditionalFormatting>
  <conditionalFormatting sqref="V24:W24">
    <cfRule type="cellIs" dxfId="168" priority="1707" operator="equal">
      <formula>"N"</formula>
    </cfRule>
  </conditionalFormatting>
  <conditionalFormatting sqref="V28:W54">
    <cfRule type="cellIs" dxfId="167" priority="979" operator="equal">
      <formula>"N"</formula>
    </cfRule>
  </conditionalFormatting>
  <conditionalFormatting sqref="W4:W11">
    <cfRule type="expression" dxfId="166" priority="4">
      <formula>#REF!="R"</formula>
    </cfRule>
    <cfRule type="expression" dxfId="165" priority="5">
      <formula>#REF!="A"</formula>
    </cfRule>
    <cfRule type="cellIs" dxfId="164" priority="6" operator="equal">
      <formula>"N"</formula>
    </cfRule>
  </conditionalFormatting>
  <conditionalFormatting sqref="W13:W14">
    <cfRule type="cellIs" dxfId="163" priority="1706" operator="equal">
      <formula>"N"</formula>
    </cfRule>
  </conditionalFormatting>
  <conditionalFormatting sqref="W13:W23">
    <cfRule type="expression" dxfId="162" priority="1288">
      <formula>#REF!="R"</formula>
    </cfRule>
    <cfRule type="expression" dxfId="161" priority="1289">
      <formula>#REF!="A"</formula>
    </cfRule>
  </conditionalFormatting>
  <conditionalFormatting sqref="W14">
    <cfRule type="expression" dxfId="160" priority="1705">
      <formula>#REF!="A"</formula>
    </cfRule>
    <cfRule type="expression" dxfId="159" priority="1704">
      <formula>#REF!="R"</formula>
    </cfRule>
  </conditionalFormatting>
  <conditionalFormatting sqref="W14:W23">
    <cfRule type="cellIs" dxfId="158" priority="1290" operator="equal">
      <formula>"N"</formula>
    </cfRule>
  </conditionalFormatting>
  <conditionalFormatting sqref="W15:W23">
    <cfRule type="expression" dxfId="157" priority="1285">
      <formula>#REF!="R"</formula>
    </cfRule>
    <cfRule type="cellIs" dxfId="156" priority="1284" operator="equal">
      <formula>"N"</formula>
    </cfRule>
    <cfRule type="expression" dxfId="155" priority="1283">
      <formula>#REF!="A"</formula>
    </cfRule>
    <cfRule type="expression" dxfId="154" priority="1282">
      <formula>#REF!="R"</formula>
    </cfRule>
    <cfRule type="expression" dxfId="153" priority="1281">
      <formula>#REF!="A"</formula>
    </cfRule>
    <cfRule type="expression" dxfId="152" priority="1279">
      <formula>#REF!="R"</formula>
    </cfRule>
    <cfRule type="cellIs" dxfId="151" priority="1278" operator="equal">
      <formula>"N"</formula>
    </cfRule>
    <cfRule type="expression" dxfId="150" priority="1277">
      <formula>#REF!="A"</formula>
    </cfRule>
    <cfRule type="expression" dxfId="149" priority="1286">
      <formula>#REF!="A"</formula>
    </cfRule>
    <cfRule type="cellIs" dxfId="148" priority="1287" operator="equal">
      <formula>"N"</formula>
    </cfRule>
    <cfRule type="cellIs" dxfId="147" priority="1274" operator="equal">
      <formula>"N"</formula>
    </cfRule>
    <cfRule type="expression" dxfId="146" priority="1275">
      <formula>#REF!="R"</formula>
    </cfRule>
    <cfRule type="cellIs" dxfId="145" priority="1276" operator="equal">
      <formula>"N"</formula>
    </cfRule>
    <cfRule type="cellIs" dxfId="144" priority="1280" operator="equal">
      <formula>"N"</formula>
    </cfRule>
  </conditionalFormatting>
  <conditionalFormatting sqref="W25:W27">
    <cfRule type="expression" dxfId="143" priority="1168">
      <formula>#REF!="A"</formula>
    </cfRule>
    <cfRule type="cellIs" dxfId="142" priority="1167" operator="equal">
      <formula>"N"</formula>
    </cfRule>
    <cfRule type="cellIs" dxfId="141" priority="1165" operator="equal">
      <formula>"N"</formula>
    </cfRule>
    <cfRule type="expression" dxfId="140" priority="1164">
      <formula>#REF!="A"</formula>
    </cfRule>
    <cfRule type="cellIs" dxfId="139" priority="1163" operator="equal">
      <formula>"N"</formula>
    </cfRule>
    <cfRule type="expression" dxfId="138" priority="1162">
      <formula>#REF!="R"</formula>
    </cfRule>
    <cfRule type="cellIs" dxfId="137" priority="1161" operator="equal">
      <formula>"N"</formula>
    </cfRule>
    <cfRule type="expression" dxfId="136" priority="1166">
      <formula>#REF!="R"</formula>
    </cfRule>
    <cfRule type="cellIs" dxfId="135" priority="1177" operator="equal">
      <formula>"N"</formula>
    </cfRule>
    <cfRule type="expression" dxfId="134" priority="1176">
      <formula>#REF!="A"</formula>
    </cfRule>
    <cfRule type="expression" dxfId="133" priority="1175">
      <formula>#REF!="R"</formula>
    </cfRule>
    <cfRule type="cellIs" dxfId="132" priority="1174" operator="equal">
      <formula>"N"</formula>
    </cfRule>
    <cfRule type="expression" dxfId="131" priority="1173">
      <formula>#REF!="A"</formula>
    </cfRule>
    <cfRule type="expression" dxfId="130" priority="1172">
      <formula>#REF!="R"</formula>
    </cfRule>
    <cfRule type="cellIs" dxfId="129" priority="1171" operator="equal">
      <formula>"N"</formula>
    </cfRule>
    <cfRule type="expression" dxfId="128" priority="1170">
      <formula>#REF!="A"</formula>
    </cfRule>
    <cfRule type="expression" dxfId="127" priority="1169">
      <formula>#REF!="R"</formula>
    </cfRule>
  </conditionalFormatting>
  <conditionalFormatting sqref="X4">
    <cfRule type="expression" dxfId="126" priority="1619">
      <formula>#REF!="R"</formula>
    </cfRule>
    <cfRule type="cellIs" dxfId="125" priority="1621" operator="equal">
      <formula>"N"</formula>
    </cfRule>
    <cfRule type="expression" dxfId="124" priority="1620">
      <formula>#REF!="A"</formula>
    </cfRule>
  </conditionalFormatting>
  <conditionalFormatting sqref="X13">
    <cfRule type="expression" dxfId="123" priority="1557">
      <formula>#REF!="A"</formula>
    </cfRule>
    <cfRule type="expression" dxfId="122" priority="1551">
      <formula>#REF!="R"</formula>
    </cfRule>
    <cfRule type="cellIs" dxfId="121" priority="1548" operator="equal">
      <formula>"N"</formula>
    </cfRule>
    <cfRule type="cellIs" dxfId="120" priority="1556" operator="equal">
      <formula>"N"</formula>
    </cfRule>
    <cfRule type="expression" dxfId="119" priority="1555">
      <formula>#REF!="R"</formula>
    </cfRule>
    <cfRule type="expression" dxfId="118" priority="1543">
      <formula>#REF!="R"</formula>
    </cfRule>
    <cfRule type="expression" dxfId="117" priority="1547">
      <formula>#REF!="A"</formula>
    </cfRule>
    <cfRule type="expression" dxfId="116" priority="1546">
      <formula>#REF!="R"</formula>
    </cfRule>
    <cfRule type="cellIs" dxfId="115" priority="1545" operator="equal">
      <formula>"N"</formula>
    </cfRule>
    <cfRule type="expression" dxfId="114" priority="1544">
      <formula>#REF!="A"</formula>
    </cfRule>
    <cfRule type="cellIs" dxfId="113" priority="1552" operator="equal">
      <formula>"N"</formula>
    </cfRule>
    <cfRule type="expression" dxfId="112" priority="1553">
      <formula>#REF!="A"</formula>
    </cfRule>
    <cfRule type="cellIs" dxfId="111" priority="1554" operator="equal">
      <formula>"N"</formula>
    </cfRule>
  </conditionalFormatting>
  <conditionalFormatting sqref="X13:X14">
    <cfRule type="cellIs" dxfId="110" priority="1465" operator="equal">
      <formula>"N"</formula>
    </cfRule>
    <cfRule type="expression" dxfId="109" priority="1457">
      <formula>#REF!="R"</formula>
    </cfRule>
    <cfRule type="expression" dxfId="108" priority="1458">
      <formula>#REF!="A"</formula>
    </cfRule>
  </conditionalFormatting>
  <conditionalFormatting sqref="X14">
    <cfRule type="expression" dxfId="107" priority="1464">
      <formula>#REF!="A"</formula>
    </cfRule>
    <cfRule type="expression" dxfId="106" priority="1463">
      <formula>#REF!="R"</formula>
    </cfRule>
    <cfRule type="cellIs" dxfId="105" priority="1462" operator="equal">
      <formula>"N"</formula>
    </cfRule>
    <cfRule type="expression" dxfId="104" priority="1450">
      <formula>#REF!="R"</formula>
    </cfRule>
    <cfRule type="expression" dxfId="103" priority="1454">
      <formula>#REF!="R"</formula>
    </cfRule>
    <cfRule type="expression" dxfId="102" priority="1456">
      <formula>#REF!="A"</formula>
    </cfRule>
    <cfRule type="cellIs" dxfId="101" priority="1451" operator="equal">
      <formula>"N"</formula>
    </cfRule>
    <cfRule type="expression" dxfId="100" priority="1460">
      <formula>#REF!="R"</formula>
    </cfRule>
    <cfRule type="cellIs" dxfId="99" priority="1455" operator="equal">
      <formula>"N"</formula>
    </cfRule>
    <cfRule type="expression" dxfId="98" priority="1461">
      <formula>#REF!="A"</formula>
    </cfRule>
    <cfRule type="cellIs" dxfId="97" priority="1459" operator="equal">
      <formula>"N"</formula>
    </cfRule>
    <cfRule type="expression" dxfId="96" priority="1452">
      <formula>#REF!="A"</formula>
    </cfRule>
    <cfRule type="cellIs" dxfId="95" priority="1453" operator="equal">
      <formula>"N"</formula>
    </cfRule>
  </conditionalFormatting>
  <conditionalFormatting sqref="X14:X24">
    <cfRule type="cellIs" dxfId="94" priority="1338" operator="equal">
      <formula>"N"</formula>
    </cfRule>
  </conditionalFormatting>
  <conditionalFormatting sqref="X15:X23">
    <cfRule type="expression" dxfId="93" priority="1336">
      <formula>#REF!="R"</formula>
    </cfRule>
    <cfRule type="expression" dxfId="92" priority="1337">
      <formula>#REF!="A"</formula>
    </cfRule>
    <cfRule type="expression" dxfId="91" priority="1267">
      <formula>#REF!="R"</formula>
    </cfRule>
    <cfRule type="cellIs" dxfId="90" priority="1272" operator="equal">
      <formula>"N"</formula>
    </cfRule>
    <cfRule type="cellIs" dxfId="89" priority="1270" operator="equal">
      <formula>"N"</formula>
    </cfRule>
    <cfRule type="expression" dxfId="88" priority="1271">
      <formula>#REF!="R"</formula>
    </cfRule>
    <cfRule type="cellIs" dxfId="87" priority="1266" operator="equal">
      <formula>"N"</formula>
    </cfRule>
    <cfRule type="cellIs" dxfId="86" priority="1268" operator="equal">
      <formula>"N"</formula>
    </cfRule>
    <cfRule type="expression" dxfId="85" priority="1269">
      <formula>#REF!="A"</formula>
    </cfRule>
  </conditionalFormatting>
  <conditionalFormatting sqref="X15:X24">
    <cfRule type="expression" dxfId="84" priority="1273">
      <formula>#REF!="A"</formula>
    </cfRule>
  </conditionalFormatting>
  <conditionalFormatting sqref="X24:X27">
    <cfRule type="expression" dxfId="83" priority="1154">
      <formula>#REF!="R"</formula>
    </cfRule>
  </conditionalFormatting>
  <conditionalFormatting sqref="X25:X27">
    <cfRule type="expression" dxfId="82" priority="1156">
      <formula>#REF!="A"</formula>
    </cfRule>
    <cfRule type="cellIs" dxfId="81" priority="1159" operator="equal">
      <formula>"N"</formula>
    </cfRule>
    <cfRule type="expression" dxfId="80" priority="1160">
      <formula>#REF!="A"</formula>
    </cfRule>
    <cfRule type="cellIs" dxfId="79" priority="1225" operator="equal">
      <formula>"N"</formula>
    </cfRule>
    <cfRule type="expression" dxfId="78" priority="1158">
      <formula>#REF!="R"</formula>
    </cfRule>
    <cfRule type="cellIs" dxfId="77" priority="1157" operator="equal">
      <formula>"N"</formula>
    </cfRule>
    <cfRule type="cellIs" dxfId="76" priority="1155" operator="equal">
      <formula>"N"</formula>
    </cfRule>
    <cfRule type="expression" dxfId="75" priority="1224">
      <formula>#REF!="A"</formula>
    </cfRule>
    <cfRule type="cellIs" dxfId="74" priority="1153" operator="equal">
      <formula>"N"</formula>
    </cfRule>
    <cfRule type="expression" dxfId="73" priority="1223">
      <formula>#REF!="R"</formula>
    </cfRule>
  </conditionalFormatting>
  <conditionalFormatting sqref="X13:Z13">
    <cfRule type="cellIs" dxfId="72" priority="1669" operator="equal">
      <formula>"N"</formula>
    </cfRule>
    <cfRule type="expression" dxfId="71" priority="1670">
      <formula>#REF!="A"</formula>
    </cfRule>
    <cfRule type="cellIs" dxfId="70" priority="1667" operator="equal">
      <formula>"N"</formula>
    </cfRule>
    <cfRule type="expression" dxfId="69" priority="1668">
      <formula>#REF!="R"</formula>
    </cfRule>
  </conditionalFormatting>
  <conditionalFormatting sqref="X24:Z24">
    <cfRule type="cellIs" dxfId="68" priority="1686" operator="equal">
      <formula>"N"</formula>
    </cfRule>
  </conditionalFormatting>
  <conditionalFormatting sqref="X28:Z54">
    <cfRule type="cellIs" dxfId="67" priority="978" operator="equal">
      <formula>"N"</formula>
    </cfRule>
    <cfRule type="expression" dxfId="66" priority="977">
      <formula>#REF!="A"</formula>
    </cfRule>
    <cfRule type="expression" dxfId="65" priority="976">
      <formula>#REF!="R"</formula>
    </cfRule>
  </conditionalFormatting>
  <conditionalFormatting sqref="Y4:Y11">
    <cfRule type="cellIs" dxfId="64" priority="3" operator="equal">
      <formula>"N"</formula>
    </cfRule>
    <cfRule type="expression" dxfId="63" priority="2">
      <formula>#REF!="A"</formula>
    </cfRule>
    <cfRule type="expression" dxfId="62" priority="1">
      <formula>#REF!="R"</formula>
    </cfRule>
  </conditionalFormatting>
  <conditionalFormatting sqref="Y13:Y14">
    <cfRule type="expression" dxfId="61" priority="1519">
      <formula>#REF!="R"</formula>
    </cfRule>
    <cfRule type="expression" dxfId="60" priority="1520">
      <formula>#REF!="A"</formula>
    </cfRule>
  </conditionalFormatting>
  <conditionalFormatting sqref="Y13:Y15">
    <cfRule type="cellIs" dxfId="59" priority="1521" operator="equal">
      <formula>"N"</formula>
    </cfRule>
  </conditionalFormatting>
  <conditionalFormatting sqref="Y14">
    <cfRule type="expression" dxfId="58" priority="1442">
      <formula>#REF!="R"</formula>
    </cfRule>
    <cfRule type="cellIs" dxfId="57" priority="1447" operator="equal">
      <formula>"N"</formula>
    </cfRule>
    <cfRule type="cellIs" dxfId="56" priority="1445" operator="equal">
      <formula>"N"</formula>
    </cfRule>
    <cfRule type="expression" dxfId="55" priority="1444">
      <formula>#REF!="A"</formula>
    </cfRule>
    <cfRule type="cellIs" dxfId="54" priority="1443" operator="equal">
      <formula>"N"</formula>
    </cfRule>
  </conditionalFormatting>
  <conditionalFormatting sqref="Y14:Y15">
    <cfRule type="expression" dxfId="53" priority="1448">
      <formula>#REF!="A"</formula>
    </cfRule>
    <cfRule type="expression" dxfId="52" priority="1446">
      <formula>#REF!="R"</formula>
    </cfRule>
  </conditionalFormatting>
  <conditionalFormatting sqref="Y14:Y24">
    <cfRule type="cellIs" dxfId="51" priority="1354" operator="equal">
      <formula>"N"</formula>
    </cfRule>
  </conditionalFormatting>
  <conditionalFormatting sqref="Y15:Y23">
    <cfRule type="expression" dxfId="50" priority="1349">
      <formula>#REF!="R"</formula>
    </cfRule>
    <cfRule type="expression" dxfId="49" priority="1353">
      <formula>#REF!="A"</formula>
    </cfRule>
    <cfRule type="expression" dxfId="48" priority="1352">
      <formula>#REF!="R"</formula>
    </cfRule>
    <cfRule type="cellIs" dxfId="47" priority="1351" operator="equal">
      <formula>"N"</formula>
    </cfRule>
    <cfRule type="expression" dxfId="46" priority="1350">
      <formula>#REF!="A"</formula>
    </cfRule>
  </conditionalFormatting>
  <conditionalFormatting sqref="Y24">
    <cfRule type="expression" dxfId="45" priority="1389">
      <formula>#REF!="A"</formula>
    </cfRule>
    <cfRule type="expression" dxfId="44" priority="1388">
      <formula>#REF!="R"</formula>
    </cfRule>
  </conditionalFormatting>
  <conditionalFormatting sqref="Y25:Y27">
    <cfRule type="expression" dxfId="43" priority="1240">
      <formula>#REF!="A"</formula>
    </cfRule>
    <cfRule type="expression" dxfId="42" priority="1239">
      <formula>#REF!="R"</formula>
    </cfRule>
    <cfRule type="cellIs" dxfId="41" priority="1238" operator="equal">
      <formula>"N"</formula>
    </cfRule>
    <cfRule type="cellIs" dxfId="40" priority="1241" operator="equal">
      <formula>"N"</formula>
    </cfRule>
    <cfRule type="expression" dxfId="39" priority="1237">
      <formula>#REF!="A"</formula>
    </cfRule>
    <cfRule type="expression" dxfId="38" priority="1236">
      <formula>#REF!="R"</formula>
    </cfRule>
  </conditionalFormatting>
  <conditionalFormatting sqref="Y22:Z22">
    <cfRule type="expression" dxfId="37" priority="1257">
      <formula>#REF!="A"</formula>
    </cfRule>
    <cfRule type="expression" dxfId="36" priority="1256">
      <formula>#REF!="R"</formula>
    </cfRule>
  </conditionalFormatting>
  <conditionalFormatting sqref="Y25:Z27">
    <cfRule type="cellIs" dxfId="35" priority="1255" operator="equal">
      <formula>"N"</formula>
    </cfRule>
  </conditionalFormatting>
  <conditionalFormatting sqref="Z4">
    <cfRule type="expression" dxfId="34" priority="1613">
      <formula>#REF!="R"</formula>
    </cfRule>
    <cfRule type="expression" dxfId="33" priority="1614">
      <formula>#REF!="A"</formula>
    </cfRule>
    <cfRule type="cellIs" dxfId="32" priority="1615" operator="equal">
      <formula>"N"</formula>
    </cfRule>
  </conditionalFormatting>
  <conditionalFormatting sqref="Z13">
    <cfRule type="cellIs" dxfId="31" priority="1538" operator="equal">
      <formula>"N"</formula>
    </cfRule>
    <cfRule type="expression" dxfId="30" priority="1539">
      <formula>#REF!="A"</formula>
    </cfRule>
    <cfRule type="cellIs" dxfId="29" priority="1530" operator="equal">
      <formula>"N"</formula>
    </cfRule>
    <cfRule type="expression" dxfId="28" priority="1529">
      <formula>#REF!="A"</formula>
    </cfRule>
    <cfRule type="expression" dxfId="27" priority="1528">
      <formula>#REF!="R"</formula>
    </cfRule>
    <cfRule type="cellIs" dxfId="26" priority="1527" operator="equal">
      <formula>"N"</formula>
    </cfRule>
    <cfRule type="expression" dxfId="25" priority="1526">
      <formula>#REF!="A"</formula>
    </cfRule>
    <cfRule type="expression" dxfId="24" priority="1533">
      <formula>#REF!="R"</formula>
    </cfRule>
    <cfRule type="expression" dxfId="23" priority="1525">
      <formula>#REF!="R"</formula>
    </cfRule>
    <cfRule type="cellIs" dxfId="22" priority="1524" operator="equal">
      <formula>"N"</formula>
    </cfRule>
    <cfRule type="expression" dxfId="21" priority="1523">
      <formula>#REF!="A"</formula>
    </cfRule>
    <cfRule type="expression" dxfId="20" priority="1522">
      <formula>#REF!="R"</formula>
    </cfRule>
    <cfRule type="cellIs" dxfId="19" priority="1534" operator="equal">
      <formula>"N"</formula>
    </cfRule>
    <cfRule type="expression" dxfId="18" priority="1535">
      <formula>#REF!="A"</formula>
    </cfRule>
    <cfRule type="expression" dxfId="17" priority="1537">
      <formula>#REF!="R"</formula>
    </cfRule>
    <cfRule type="cellIs" dxfId="16" priority="1536" operator="equal">
      <formula>"N"</formula>
    </cfRule>
  </conditionalFormatting>
  <conditionalFormatting sqref="Z13:Z15 X24:Z24 Y16:Z21 Y23:Z23 Y25:Z27">
    <cfRule type="expression" dxfId="15" priority="1674">
      <formula>#REF!="R"</formula>
    </cfRule>
  </conditionalFormatting>
  <conditionalFormatting sqref="Z13:Z15 Y16:Z21 Y23:Z23 X24:Z24 Y25:Z27">
    <cfRule type="expression" dxfId="14" priority="1676">
      <formula>#REF!="A"</formula>
    </cfRule>
  </conditionalFormatting>
  <conditionalFormatting sqref="Z13:Z23">
    <cfRule type="cellIs" dxfId="13" priority="1685" operator="equal">
      <formula>"N"</formula>
    </cfRule>
  </conditionalFormatting>
  <conditionalFormatting sqref="Z14">
    <cfRule type="expression" dxfId="12" priority="1684">
      <formula>#REF!="A"</formula>
    </cfRule>
    <cfRule type="expression" dxfId="11" priority="1680">
      <formula>#REF!="R"</formula>
    </cfRule>
    <cfRule type="expression" dxfId="10" priority="1681">
      <formula>#REF!="A"</formula>
    </cfRule>
    <cfRule type="cellIs" dxfId="9" priority="1682" operator="equal">
      <formula>"N"</formula>
    </cfRule>
    <cfRule type="expression" dxfId="8" priority="1683">
      <formula>#REF!="R"</formula>
    </cfRule>
  </conditionalFormatting>
  <conditionalFormatting sqref="Z25:Z27">
    <cfRule type="cellIs" dxfId="7" priority="1254" operator="equal">
      <formula>"N"</formula>
    </cfRule>
  </conditionalFormatting>
  <dataValidations count="5">
    <dataValidation type="list" allowBlank="1" showInputMessage="1" showErrorMessage="1" sqref="J286 K297:M310 H329:I329 O22:O23 L314:M314 H55:I55 M3:S3 M22:M23 I232:I238 I70:I72 I92:I94 I107:I110 I122:I125 I136:I139 I150:I153 I164:I166 H185:I185 I170:I173 H203:I203 H221:I221 I196:I202 H239:I239 I214:I220 H257:I257 I78:I81 I84:I86 I98:I101 I113:I116 I128:I130 I142:I144 I156:I158 I250:I256 I188:I191 I206:I209 I224:I227 I242:I245 I260:I263 I178:I184 I268:I278 K281:M293 J281 J283 I297 J302 H311:I311 H314:I314 K315:M327 J319 L5:L54" xr:uid="{00000000-0002-0000-0700-000000000000}">
      <formula1>YesNo</formula1>
    </dataValidation>
    <dataValidation type="list" allowBlank="1" showInputMessage="1" showErrorMessage="1" sqref="J257 J311 J329 K59:K66 J55 K3 J185 J203 J221 J239 J314" xr:uid="{00000000-0002-0000-0700-000001000000}">
      <formula1>AddRemove</formula1>
    </dataValidation>
    <dataValidation allowBlank="1" showInputMessage="1" sqref="I43:I46 J48:J51 I30:I41 L4:Z4 L58:M58 J59:J66 H3:J3 A4:H4 I58 A83:R83 G92:G94 A97:R97 J70:J81 G70:G72 J84:J94 A112:R112 G107:G110 A127:R127 G122:G125 J128:J139 A141:R141 J142:J153 G136:G139 A155:R155 J156:J166 G150:G153 A169:R169 G164:G166 J260:J278 G175 A187:R187 G193 A205:R205 G211 A223:R223 G229 A241:R241 G247 J320:J327 A69:R69 G78:G81 G84:G86 J98:J110 G98:G101 J113:J125 G113:G116 G128:G130 G142:G144 G156:G158 G265 G170:G173 G188:G191 G206:G209 J188:J202 G224:G227 J206:J220 G242:G245 G231:G238 G260:G263 J242:J256 J170:J184 G177:G184 G195:G202 G213:G220 J224:J238 G249:G256 G267:G278 A259:R259 E280:F280 K280 I280 J282 J284:J285 J287:J293 E296:F296 K296 I296 J298:J301 J303:J310 E313:F313 K313 I313 J315:J318 I4:K29" xr:uid="{05D68A33-DE3D-41A1-A7F7-E06DC4E1654D}"/>
    <dataValidation type="list" allowBlank="1" showInputMessage="1" showErrorMessage="1" sqref="G3 H5:H54" xr:uid="{1F4C06E1-0A5D-4016-9B56-D166B79715D3}">
      <formula1>Types</formula1>
    </dataValidation>
    <dataValidation type="list" allowBlank="1" showInputMessage="1" sqref="P12:Z54 M24:M54 M242:R256 O24:O54 L59:M66 M84:R94 O98:R109 Q113:R124 M142:P153 M156:R166 Q154:R154 M188:R202 M206:R220 M224:R238 N12:N54 O12:O21 Q260:R274 O81:P81 M70:N81 O70:R80 O110:P110 M98:N110 M113:P125 M128:R139 Q142:R152 M260:P278 M170:R184 M5:M21 N5:Z11" xr:uid="{BA2C29A7-1EF1-4227-B7FD-C1D06F8B5A9E}">
      <formula1>YesNo</formula1>
    </dataValidation>
  </dataValidations>
  <hyperlinks>
    <hyperlink ref="A1" location="'Cover Sheet'!A1" display="Process Nonconformance Fields" xr:uid="{00000000-0004-0000-0700-000000000000}"/>
    <hyperlink ref="A295" location="'Cover Sheet'!A1" display="Process Nonconformance Fields" xr:uid="{00000000-0004-0000-0700-000001000000}"/>
    <hyperlink ref="A312" location="'Cover Sheet'!A1" display="Process Nonconformance Fields" xr:uid="{00000000-0004-0000-0700-000002000000}"/>
    <hyperlink ref="A57" location="'Cover Sheet'!A1" display="Process Nonconformance Fields" xr:uid="{00000000-0004-0000-0700-000004000000}"/>
    <hyperlink ref="A68" location="'Cover Sheet'!A1" display="Process Nonconformance Fields" xr:uid="{00000000-0004-0000-0700-000005000000}"/>
    <hyperlink ref="A82" location="'Cover Sheet'!A1" display="Process Nonconformance Fields" xr:uid="{90242F28-E3B1-405B-8AAE-C06556F531DB}"/>
    <hyperlink ref="A96" location="'Cover Sheet'!A1" display="Process Nonconformance Fields" xr:uid="{6263ACEA-F095-4A2A-9ECF-F0247FA58C01}"/>
    <hyperlink ref="A111" location="'Cover Sheet'!A1" display="Process Nonconformance Fields" xr:uid="{64AEA2F2-65E0-42DA-B30A-D54262FBE30C}"/>
    <hyperlink ref="A126" location="'Cover Sheet'!A1" display="Process Nonconformance Fields" xr:uid="{6ACD7442-A57A-4B29-AFEB-D2D98ECF2614}"/>
    <hyperlink ref="A140" location="'Cover Sheet'!A1" display="Process Nonconformance Fields" xr:uid="{16F37908-F8EA-4893-B62D-86ADC9782788}"/>
    <hyperlink ref="A154" location="'Cover Sheet'!A1" display="Process Nonconformance Fields" xr:uid="{9B5E3F34-AD34-459F-817D-13CC5266D26F}"/>
    <hyperlink ref="A168" location="'Cover Sheet'!A1" display="Process Nonconformance Fields" xr:uid="{FF1812CB-5AC9-4140-ACBC-A03F62508986}"/>
    <hyperlink ref="A186" location="'Cover Sheet'!A1" display="Process Nonconformance Fields" xr:uid="{787323ED-F6C9-4F92-B69F-9714060DF22E}"/>
    <hyperlink ref="A204" location="'Cover Sheet'!A1" display="Process Nonconformance Fields" xr:uid="{1CAB2A8D-FED5-40B6-B384-58EC10B0553D}"/>
    <hyperlink ref="A222" location="'Cover Sheet'!A1" display="Process Nonconformance Fields" xr:uid="{A9AE8F4A-0808-4E69-A71C-7DBAE06E881B}"/>
    <hyperlink ref="A240" location="'Cover Sheet'!A1" display="Process Nonconformance Fields" xr:uid="{24F956D6-C649-4610-8337-32709EE04F7B}"/>
    <hyperlink ref="A258" location="'Cover Sheet'!A1" display="Process Nonconformance Fields" xr:uid="{C8D9ED29-DE18-46EF-94B9-163BDD5D9375}"/>
  </hyperlinks>
  <pageMargins left="0.7" right="0.7" top="0.75" bottom="0.75" header="0.3" footer="0.3"/>
  <pageSetup orientation="portrait" r:id="rId1"/>
  <ignoredErrors>
    <ignoredError sqref="J319" listDataValidation="1"/>
  </ignoredErrors>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2000000}">
          <x14:formula1>
            <xm:f>'ILX Hidden'!$B$43:$B$62</xm:f>
          </x14:formula1>
          <xm:sqref>H298:H310 G329 H59:H66 G55 H224:H238 H84:H94 H98:H110 H113:H125 H70:H81 H128:H139 H142:H153 H156:H166 G185 H242:H256 G203 G221 H188:H202 G239 H206:H220 G257 H170:H184 H260:H278 H281:H293 K281:K293 J281 J283 J286 G297:H297 G311 J302 K297:K310 G314 H315:H327 J319 K315:K327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A1:E90"/>
  <sheetViews>
    <sheetView showGridLines="0" topLeftCell="A38" zoomScale="85" zoomScaleNormal="85" workbookViewId="0">
      <selection activeCell="A32" sqref="A32:B34"/>
    </sheetView>
  </sheetViews>
  <sheetFormatPr defaultRowHeight="14.4" x14ac:dyDescent="0.55000000000000004"/>
  <cols>
    <col min="1" max="1" width="42.1015625" customWidth="1"/>
    <col min="2" max="2" width="23" customWidth="1"/>
    <col min="3" max="3" width="45" customWidth="1"/>
    <col min="4" max="4" width="45" customWidth="1"/>
    <col min="5" max="5" width="45" customWidth="1"/>
    <col min="7" max="7" width="24.1015625" customWidth="1"/>
    <col min="8" max="8" width="22.41796875" customWidth="1"/>
  </cols>
  <sheetData>
    <row r="1" s="4" customFormat="1" ht="27" x14ac:dyDescent="0.85">
      <c r="A1" s="23" t="s">
        <v>54</v>
      </c>
      <c r="B1" s="7"/>
      <c r="C1" s="23"/>
    </row>
    <row r="2" s="4" customFormat="1" ht="23.1" x14ac:dyDescent="0.85">
      <c r="A2" s="25" t="s">
        <v>55</v>
      </c>
      <c r="B2" s="7"/>
    </row>
    <row r="3" s="4" customFormat="1" ht="13.5" customHeight="1" x14ac:dyDescent="0.55000000000000004">
      <c r="A3" s="11"/>
      <c r="B3" s="11"/>
    </row>
    <row r="4" s="4" customFormat="1" ht="28.8" x14ac:dyDescent="0.85" customHeight="1">
      <c r="A4" s="61" t="s">
        <v>387</v>
      </c>
      <c r="B4" s="74"/>
      <c r="C4" s="269" t="inlineStr">
        <is>
          <t xml:space="preserve">R - Priority field removed (Grade of Change is the single driver).</t>
        </is>
      </c>
    </row>
    <row r="5" x14ac:dyDescent="0.55000000000000004">
      <c r="A5" s="12" t="s">
        <v>56</v>
      </c>
      <c r="B5" s="12" t="s">
        <v>57</v>
      </c>
    </row>
    <row r="6" x14ac:dyDescent="0.55000000000000004">
      <c r="A6" s="13" t="s">
        <v>210</v>
      </c>
      <c r="B6" s="13" t="s">
        <v>210</v>
      </c>
    </row>
    <row r="7" x14ac:dyDescent="0.55000000000000004">
      <c r="A7" s="13" t="s">
        <v>211</v>
      </c>
      <c r="B7" s="13" t="s">
        <v>211</v>
      </c>
    </row>
    <row r="8" x14ac:dyDescent="0.55000000000000004">
      <c r="A8" t="s">
        <v>212</v>
      </c>
      <c r="B8" t="s">
        <v>212</v>
      </c>
    </row>
    <row r="9" x14ac:dyDescent="0.55000000000000004">
      <c r="A9" s="4"/>
      <c r="B9" s="4"/>
    </row>
    <row r="10" x14ac:dyDescent="0.55000000000000004">
      <c r="A10" s="13"/>
      <c r="B10" s="13"/>
    </row>
    <row r="11" ht="43.2" x14ac:dyDescent="0.85" customHeight="1">
      <c r="A11" s="61" t="s">
        <v>190</v>
      </c>
      <c r="B11" s="74"/>
      <c r="C11" s="269" t="inlineStr">
        <is>
          <t xml:space="preserve">Check: values are the Approval objects (same as L07); Task Type should list MOC Task children (L06). Intelex to confirm.</t>
        </is>
      </c>
    </row>
    <row r="12" x14ac:dyDescent="0.55000000000000004">
      <c r="A12" s="12" t="s">
        <v>56</v>
      </c>
      <c r="B12" s="12" t="s">
        <v>57</v>
      </c>
    </row>
    <row r="13" x14ac:dyDescent="0.55000000000000004">
      <c r="A13" s="13" t="s">
        <v>418</v>
      </c>
      <c r="B13" s="13" t="s">
        <v>419</v>
      </c>
      <c r="D13" s="13"/>
      <c r="E13" s="13"/>
    </row>
    <row r="14" x14ac:dyDescent="0.55000000000000004">
      <c r="A14" s="13" t="s">
        <v>420</v>
      </c>
      <c r="B14" s="13" t="s">
        <v>421</v>
      </c>
      <c r="D14" s="13"/>
      <c r="E14" s="13"/>
    </row>
    <row r="15" x14ac:dyDescent="0.55000000000000004">
      <c r="A15" t="s">
        <v>422</v>
      </c>
      <c r="B15" t="s">
        <v>423</v>
      </c>
      <c r="D15" s="13"/>
      <c r="E15" s="13"/>
    </row>
    <row r="16" x14ac:dyDescent="0.55000000000000004">
      <c r="A16" t="s">
        <v>424</v>
      </c>
      <c r="B16" t="s">
        <v>425</v>
      </c>
      <c r="D16" s="13"/>
      <c r="E16" s="13"/>
    </row>
    <row r="17" x14ac:dyDescent="0.55000000000000004">
      <c r="A17" t="s">
        <v>426</v>
      </c>
      <c r="B17" t="s">
        <v>427</v>
      </c>
      <c r="D17" s="13"/>
      <c r="E17" s="13"/>
    </row>
    <row r="18" x14ac:dyDescent="0.55000000000000004">
      <c r="A18" t="s">
        <v>428</v>
      </c>
      <c r="B18" t="s">
        <v>242</v>
      </c>
      <c r="D18" s="13"/>
      <c r="E18" s="13"/>
    </row>
    <row r="19" x14ac:dyDescent="0.55000000000000004">
      <c r="D19" s="13"/>
      <c r="E19" s="13"/>
    </row>
    <row r="20" ht="14.4" x14ac:dyDescent="0.85" customHeight="1">
      <c r="A20" s="61" t="s">
        <v>197</v>
      </c>
      <c r="B20" s="74"/>
      <c r="C20" s="269" t="inlineStr">
        <is>
          <t xml:space="preserve">M - aligned to the new 6-stage workflow.</t>
        </is>
      </c>
      <c r="D20" s="13"/>
      <c r="E20" s="13"/>
    </row>
    <row r="21" x14ac:dyDescent="0.55000000000000004">
      <c r="A21" s="12" t="s">
        <v>56</v>
      </c>
      <c r="B21" s="12" t="s">
        <v>57</v>
      </c>
      <c r="D21" s="13"/>
      <c r="E21" s="13"/>
    </row>
    <row r="22" x14ac:dyDescent="0.55000000000000004">
      <c r="A22" s="13" t="s">
        <v>198</v>
      </c>
      <c r="B22" s="13" t="s">
        <v>198</v>
      </c>
      <c r="D22" s="13"/>
      <c r="E22" s="13"/>
    </row>
    <row r="23" x14ac:dyDescent="0.55000000000000004">
      <c r="A23" s="269" t="inlineStr">
        <is>
          <t xml:space="preserve">Evaluation, Design &amp; Analysis</t>
        </is>
      </c>
      <c r="B23" s="269" t="inlineStr">
        <is>
          <t xml:space="preserve">Evaluation, Design &amp; Analysis</t>
        </is>
      </c>
      <c r="D23" s="13"/>
      <c r="E23" s="13"/>
    </row>
    <row r="24" x14ac:dyDescent="0.55000000000000004">
      <c r="A24" s="270" t="inlineStr">
        <is>
          <t xml:space="preserve">Approval</t>
        </is>
      </c>
      <c r="B24" s="270" t="inlineStr">
        <is>
          <t xml:space="preserve">Approval</t>
        </is>
      </c>
      <c r="D24" s="13"/>
      <c r="E24" s="13"/>
    </row>
    <row r="25" x14ac:dyDescent="0.55000000000000004">
      <c r="A25" s="270" t="inlineStr">
        <is>
          <t xml:space="preserve">Implementation</t>
        </is>
      </c>
      <c r="B25" s="270" t="inlineStr">
        <is>
          <t xml:space="preserve">Implementation</t>
        </is>
      </c>
      <c r="D25" s="13"/>
      <c r="E25" s="13"/>
    </row>
    <row r="26" x14ac:dyDescent="0.55000000000000004">
      <c r="A26" s="270" t="inlineStr">
        <is>
          <t xml:space="preserve">Start-Up</t>
        </is>
      </c>
      <c r="B26" s="270" t="inlineStr">
        <is>
          <t xml:space="preserve">Start-Up</t>
        </is>
      </c>
      <c r="D26" s="13"/>
      <c r="E26" s="13"/>
    </row>
    <row r="27" x14ac:dyDescent="0.55000000000000004">
      <c r="A27" s="270" t="inlineStr">
        <is>
          <t xml:space="preserve">Follow-Up</t>
        </is>
      </c>
      <c r="B27" s="270" t="inlineStr">
        <is>
          <t xml:space="preserve">Follow-Up</t>
        </is>
      </c>
      <c r="D27" s="13"/>
      <c r="E27" s="13"/>
    </row>
    <row r="28" x14ac:dyDescent="0.55000000000000004">
      <c r="A28" s="270"/>
      <c r="B28" s="270"/>
    </row>
    <row r="30" ht="43.2" x14ac:dyDescent="0.85" customHeight="1">
      <c r="A30" s="271" t="inlineStr">
        <is>
          <t xml:space="preserve">L04 - Grade of Change (Change Impact)</t>
        </is>
      </c>
      <c r="B30" s="74"/>
      <c r="C30" s="269" t="inlineStr">
        <is>
          <t xml:space="preserve">M - single criticality list used by MOC and by Screening / Task / Approval setups. Minor = Local, Moderate = Regional, Major = Global approval.</t>
        </is>
      </c>
    </row>
    <row r="31" x14ac:dyDescent="0.55000000000000004">
      <c r="A31" s="12" t="s">
        <v>56</v>
      </c>
      <c r="B31" s="12" t="s">
        <v>57</v>
      </c>
    </row>
    <row r="32" x14ac:dyDescent="0.55000000000000004">
      <c r="A32" s="269" t="inlineStr">
        <is>
          <t xml:space="preserve">Minor</t>
        </is>
      </c>
      <c r="B32" s="269" t="inlineStr">
        <is>
          <t xml:space="preserve">Minor</t>
        </is>
      </c>
    </row>
    <row r="33" x14ac:dyDescent="0.55000000000000004">
      <c r="A33" s="269" t="inlineStr">
        <is>
          <t xml:space="preserve">Moderate</t>
        </is>
      </c>
      <c r="B33" s="269" t="inlineStr">
        <is>
          <t xml:space="preserve">Moderate</t>
        </is>
      </c>
    </row>
    <row r="34" x14ac:dyDescent="0.55000000000000004">
      <c r="A34" s="270" t="inlineStr">
        <is>
          <t xml:space="preserve">Major</t>
        </is>
      </c>
      <c r="B34" s="270" t="inlineStr">
        <is>
          <t xml:space="preserve">Major</t>
        </is>
      </c>
    </row>
    <row r="36" ht="28.8" x14ac:dyDescent="0.85" customHeight="1">
      <c r="A36" s="61" t="s">
        <v>382</v>
      </c>
      <c r="B36" s="74"/>
      <c r="C36" s="269" t="inlineStr">
        <is>
          <t xml:space="preserve">R - duplicate of L01; replace its references (Task/Approval setup, Change Impact) by L04.</t>
        </is>
      </c>
    </row>
    <row r="37" x14ac:dyDescent="0.55000000000000004">
      <c r="A37" s="12" t="s">
        <v>56</v>
      </c>
      <c r="B37" s="12" t="s">
        <v>57</v>
      </c>
    </row>
    <row r="38" x14ac:dyDescent="0.55000000000000004">
      <c r="A38" s="13" t="s">
        <v>210</v>
      </c>
      <c r="B38" s="13" t="s">
        <v>210</v>
      </c>
    </row>
    <row r="39" x14ac:dyDescent="0.55000000000000004">
      <c r="A39" s="13" t="s">
        <v>211</v>
      </c>
      <c r="B39" s="13" t="s">
        <v>211</v>
      </c>
    </row>
    <row r="40" x14ac:dyDescent="0.55000000000000004">
      <c r="A40" t="s">
        <v>212</v>
      </c>
      <c r="B40" t="s">
        <v>212</v>
      </c>
    </row>
    <row r="42" ht="57.6" x14ac:dyDescent="0.85" customHeight="1">
      <c r="A42" s="61" t="s">
        <v>447</v>
      </c>
      <c r="B42" s="74"/>
      <c r="C42" s="269" t="inlineStr">
        <is>
          <t xml:space="preserve">Keep. Mapping to checklist sections: Impact/Hazard Assessment (B), Process (C, E-H), Documentation (D), Training + Change Communication (I), PSSR (K), Checklist (generic).</t>
        </is>
      </c>
    </row>
    <row r="43" x14ac:dyDescent="0.55000000000000004">
      <c r="A43" s="12" t="s">
        <v>56</v>
      </c>
      <c r="B43" s="12" t="s">
        <v>57</v>
      </c>
    </row>
    <row r="44" x14ac:dyDescent="0.55000000000000004">
      <c r="A44" s="13" t="s">
        <v>439</v>
      </c>
      <c r="B44" s="13" t="s">
        <v>440</v>
      </c>
    </row>
    <row r="45" x14ac:dyDescent="0.55000000000000004">
      <c r="A45" s="13" t="s">
        <v>441</v>
      </c>
      <c r="B45" s="13" t="s">
        <v>191</v>
      </c>
    </row>
    <row r="46" x14ac:dyDescent="0.55000000000000004">
      <c r="A46" t="s">
        <v>442</v>
      </c>
      <c r="B46" t="s">
        <v>192</v>
      </c>
    </row>
    <row r="47" x14ac:dyDescent="0.55000000000000004">
      <c r="A47" t="s">
        <v>443</v>
      </c>
      <c r="B47" t="s">
        <v>193</v>
      </c>
    </row>
    <row r="48" x14ac:dyDescent="0.55000000000000004">
      <c r="A48" t="s">
        <v>444</v>
      </c>
      <c r="B48" t="s">
        <v>194</v>
      </c>
    </row>
    <row r="49" x14ac:dyDescent="0.55000000000000004">
      <c r="A49" t="s">
        <v>445</v>
      </c>
      <c r="B49" t="s">
        <v>195</v>
      </c>
    </row>
    <row r="50" x14ac:dyDescent="0.55000000000000004">
      <c r="A50" t="s">
        <v>446</v>
      </c>
      <c r="B50" t="s">
        <v>196</v>
      </c>
    </row>
    <row r="52" ht="72.0" x14ac:dyDescent="0.85" customHeight="1">
      <c r="A52" s="61" t="s">
        <v>769</v>
      </c>
      <c r="B52" s="74"/>
      <c r="C52" s="269" t="inlineStr">
        <is>
          <t xml:space="preserve">[TBC] 21-Oct: keep OOTB types for functional approvals; add Operations (Khesar) and Maintenance; level approvals (TM / Regional HSEC-Ops / Global HSEC-Ops) also needed. Intelex to propose re-caption vs new objects.</t>
        </is>
      </c>
    </row>
    <row r="53" x14ac:dyDescent="0.55000000000000004">
      <c r="A53" s="12" t="s">
        <v>56</v>
      </c>
      <c r="B53" s="12" t="s">
        <v>57</v>
      </c>
    </row>
    <row r="54" x14ac:dyDescent="0.55000000000000004">
      <c r="A54" s="13" t="s">
        <v>418</v>
      </c>
      <c r="B54" s="13" t="s">
        <v>419</v>
      </c>
    </row>
    <row r="55" x14ac:dyDescent="0.55000000000000004">
      <c r="A55" s="13" t="s">
        <v>420</v>
      </c>
      <c r="B55" s="13" t="s">
        <v>421</v>
      </c>
    </row>
    <row r="56" x14ac:dyDescent="0.55000000000000004">
      <c r="A56" t="s">
        <v>422</v>
      </c>
      <c r="B56" t="s">
        <v>423</v>
      </c>
    </row>
    <row r="57" x14ac:dyDescent="0.55000000000000004">
      <c r="A57" t="s">
        <v>424</v>
      </c>
      <c r="B57" t="s">
        <v>425</v>
      </c>
    </row>
    <row r="58" x14ac:dyDescent="0.55000000000000004">
      <c r="A58" t="s">
        <v>426</v>
      </c>
      <c r="B58" t="s">
        <v>427</v>
      </c>
    </row>
    <row r="59" x14ac:dyDescent="0.55000000000000004">
      <c r="A59" t="s">
        <v>428</v>
      </c>
      <c r="B59" t="s">
        <v>242</v>
      </c>
    </row>
    <row r="62">
      <c r="A62" s="61" t="inlineStr">
        <is>
          <t xml:space="preserve">L08 - Type of Change (MOC Category data)</t>
        </is>
      </c>
      <c r="C62" s="269" t="inlineStr">
        <is>
          <t xml:space="preserve">A - records of the MOC Category object (caption 'Type of Change').</t>
        </is>
      </c>
    </row>
    <row r="63">
      <c r="A63" s="12" t="inlineStr">
        <is>
          <t xml:space="preserve">Value</t>
        </is>
      </c>
      <c r="B63" s="12" t="inlineStr">
        <is>
          <t xml:space="preserve">Caption</t>
        </is>
      </c>
    </row>
    <row r="64">
      <c r="A64" s="269" t="inlineStr">
        <is>
          <t xml:space="preserve">1. Change of Design / Equipment</t>
        </is>
      </c>
      <c r="B64" s="269" t="inlineStr">
        <is>
          <t xml:space="preserve">1. Change of Design / Equipment</t>
        </is>
      </c>
    </row>
    <row r="65">
      <c r="A65" s="269" t="inlineStr">
        <is>
          <t xml:space="preserve">2. Change of Process</t>
        </is>
      </c>
      <c r="B65" s="269" t="inlineStr">
        <is>
          <t xml:space="preserve">2. Change of Process</t>
        </is>
      </c>
    </row>
    <row r="66">
      <c r="A66" s="269" t="inlineStr">
        <is>
          <t xml:space="preserve">3. Change of Procedure</t>
        </is>
      </c>
      <c r="B66" s="269" t="inlineStr">
        <is>
          <t xml:space="preserve">3. Change of Procedure</t>
        </is>
      </c>
    </row>
    <row r="67">
      <c r="A67" s="269" t="inlineStr">
        <is>
          <t xml:space="preserve">4. Change of Control Systems / IT / SIS</t>
        </is>
      </c>
      <c r="B67" s="269" t="inlineStr">
        <is>
          <t xml:space="preserve">4. Change of Control Systems / IT / SIS</t>
        </is>
      </c>
    </row>
    <row r="68">
      <c r="A68" s="269" t="inlineStr">
        <is>
          <t xml:space="preserve">5. Organisational / Personnel Change</t>
        </is>
      </c>
      <c r="B68" s="269" t="inlineStr">
        <is>
          <t xml:space="preserve">5. Organisational / Personnel Change</t>
        </is>
      </c>
    </row>
    <row r="69">
      <c r="A69" s="269" t="inlineStr">
        <is>
          <t xml:space="preserve">6. Temporary Change</t>
        </is>
      </c>
      <c r="B69" s="269" t="inlineStr">
        <is>
          <t xml:space="preserve">6. Temporary Change</t>
        </is>
      </c>
    </row>
    <row r="70">
      <c r="A70" s="269" t="inlineStr">
        <is>
          <t xml:space="preserve">7. Regulatory / Permit-Driven Change</t>
        </is>
      </c>
      <c r="B70" s="269" t="inlineStr">
        <is>
          <t xml:space="preserve">7. Regulatory / Permit-Driven Change</t>
        </is>
      </c>
    </row>
    <row r="71">
      <c r="A71" s="269" t="inlineStr">
        <is>
          <t xml:space="preserve">8. Changes to Utility &amp; HSE Protection Systems</t>
        </is>
      </c>
      <c r="B71" s="269" t="inlineStr">
        <is>
          <t xml:space="preserve">8. Changes to Utility &amp; HSE Protection Systems</t>
        </is>
      </c>
    </row>
    <row r="74">
      <c r="A74" s="61" t="inlineStr">
        <is>
          <t xml:space="preserve">L09 - Grade Guidance by Type of Change (content of the 'Grade Guidance' read-only fields)</t>
        </is>
      </c>
    </row>
    <row r="75">
      <c r="A75" s="12" t="inlineStr">
        <is>
          <t xml:space="preserve">Type of Change</t>
        </is>
      </c>
      <c r="B75" s="12" t="inlineStr">
        <is>
          <t xml:space="preserve">Minor - Local Approval (TM)</t>
        </is>
      </c>
      <c r="C75" s="12" t="inlineStr">
        <is>
          <t xml:space="preserve">Moderate - Regional Approval (HSEC + Ops)</t>
        </is>
      </c>
      <c r="D75" s="12" t="inlineStr">
        <is>
          <t xml:space="preserve">Major - Global Approval (HSEC + Ops)</t>
        </is>
      </c>
    </row>
    <row r="76" ht="144.0" customHeight="1">
      <c r="A76" s="269" t="inlineStr">
        <is>
          <t xml:space="preserve">1. Change of Design / Equipment</t>
        </is>
      </c>
      <c r="B76" s="269" t="inlineStr">
        <is>
          <t xml:space="preserve">Replace for an identical one. Replacement by an identical component with the same engineering specifications, construction material, and design range. Includes relocation of equipment within the same service and operating conditions</t>
        </is>
      </c>
      <c r="C76" s="269" t="inlineStr">
        <is>
          <t xml:space="preserve">Replace for a similar one. Replacement by a functionally similar component; may differ in brand or model but remains within the same design range. Includes relocation to a different service or operating environment, or decommissioning of non-safety-critical equipment</t>
        </is>
      </c>
      <c r="D76" s="269" t="inlineStr">
        <is>
          <t xml:space="preserve">Replace for a different one. Technologically different component, different construction material, or outside the original design range. Includes any departure from original design intent, decommissioning of safety-critical equipment, or permanent removal of equipment with associated safeguard implications</t>
        </is>
      </c>
    </row>
    <row r="77" ht="144.0" customHeight="1">
      <c r="A77" s="269" t="inlineStr">
        <is>
          <t xml:space="preserve">2. Change of Process</t>
        </is>
      </c>
      <c r="B77" s="269" t="inlineStr">
        <is>
          <t xml:space="preserve">Change of environment. Process carried out in same-size equipment with same construction materials and instrumentation. Capacity change ≤ 10%. Substitution of a non-hazardous material with an equivalent; no change to process parameters</t>
        </is>
      </c>
      <c r="C77" s="269" t="inlineStr">
        <is>
          <t xml:space="preserve">Change of scale. Capacity change &gt; 10% in volume, weight, or flow. Substitution of a hazardous material (Risk Class ≥ 3) with an equivalent within the same risk class and quantity variation ≤ 20%. Modifications to process systems (vessels, piping, relief devices) within existing design parameters</t>
        </is>
      </c>
      <c r="D77" s="269" t="inlineStr">
        <is>
          <t xml:space="preserve">Change of conditions. a) New process or component; b) New hazardous materials not currently present; c) Change of any process parameter that affects system integrity, the Safe Operating Envelope, or existing safeguards; d) Modifications to process systems (vessels, piping, relief devices) outside existing design parameters or affecting safeguard integrity</t>
        </is>
      </c>
    </row>
    <row r="78" ht="86.4" customHeight="1">
      <c r="A78" s="269" t="inlineStr">
        <is>
          <t xml:space="preserve">3. Change of Procedure</t>
        </is>
      </c>
      <c r="B78" s="269" t="inlineStr">
        <is>
          <t xml:space="preserve">Minor update. Editorial correction or clarification of an existing procedure with no change to operational sequence, frequency, or responsibilities</t>
        </is>
      </c>
      <c r="C78" s="269" t="inlineStr">
        <is>
          <t xml:space="preserve">Operational modification. Change of sequence, frequency, or responsible party in a key operational, maintenance, or emergency response procedure</t>
        </is>
      </c>
      <c r="D78" s="269" t="inlineStr">
        <is>
          <t xml:space="preserve">New procedure or elimination of control. Creation of a procedure for a previously undefined operation, or removal of an existing safety critical control step. Includes changes to emergency response plans</t>
        </is>
      </c>
    </row>
    <row r="79" ht="86.4" customHeight="1">
      <c r="A79" s="269" t="inlineStr">
        <is>
          <t xml:space="preserve">4. Change of Control Systems / IT / SIS</t>
        </is>
      </c>
      <c r="B79" s="269" t="inlineStr">
        <is>
          <t xml:space="preserve">Configuration change. Minor adjustment to alarm setpoints or display parameters within approved operating ranges; no change to logic or interlocks</t>
        </is>
      </c>
      <c r="C79" s="269" t="inlineStr">
        <is>
          <t xml:space="preserve">Software or logic modification. Modification to control system logic, PLC/DCS programming, or alarm management system; no change to SIS/SIL functions</t>
        </is>
      </c>
      <c r="D79" s="269" t="inlineStr">
        <is>
          <t xml:space="preserve">Safety system modification. Any change to Safety Instrumented Systems (SIS/SIL), emergency shutdown systems, or IT/OT systems that interface with safety-critical functions; or introduction of new control system architecture</t>
        </is>
      </c>
    </row>
    <row r="80" ht="86.4" customHeight="1">
      <c r="A80" s="269" t="inlineStr">
        <is>
          <t xml:space="preserve">5. Organisational / Personnel Change</t>
        </is>
      </c>
      <c r="B80" s="269" t="inlineStr">
        <is>
          <t xml:space="preserve">Minor role change. Temporary reassignment of an operator within the same competency level, with no impact on critical safety roles or staffing levels</t>
        </is>
      </c>
      <c r="C80" s="269" t="inlineStr">
        <is>
          <t xml:space="preserve">Change of area responsible. Change of supervisor, coordinator, or key contractor in an operational area; safety-critical roles remain filled by competent personnel</t>
        </is>
      </c>
      <c r="D80" s="269" t="inlineStr">
        <is>
          <t xml:space="preserve">Loss or change of critical competency. Team restructuring, contractor change-out, or reduction of staffing in a risk-critical area. Includes situations where inexperienced personnel assume critical decision-making roles</t>
        </is>
      </c>
    </row>
    <row r="81" ht="129.6" customHeight="1">
      <c r="A81" s="269" t="inlineStr">
        <is>
          <t xml:space="preserve">6. Temporary Change</t>
        </is>
      </c>
      <c r="B81" s="269" t="inlineStr">
        <is>
          <t xml:space="preserve">Short duration, low risk. Fully reversible, no impact on safeguards or safety-critical systems. Includes installation of temporary equipment with no safeguard implications. Removal date defined prior to implementation</t>
        </is>
      </c>
      <c r="C81" s="269" t="inlineStr">
        <is>
          <t xml:space="preserve">Extended duration, moderate risk. Reversible, with defined monitoring plan, removal date, and re-approval authority. Includes temporary equipment that affects operating procedures or non-safety-critical instrumentation. Scope clearly bounded and documented</t>
        </is>
      </c>
      <c r="D81" s="269" t="inlineStr">
        <is>
          <t xml:space="preserve">Safeguard-affecting. Any duration if it affects safety devices, alarms, interlocks, or passive safeguards. Includes installation or removal of temporary equipment that bypasses or impairs any safeguard. Scope or duration must not be exceeded without formal review and re-approval</t>
        </is>
      </c>
    </row>
    <row r="82" ht="72.0" customHeight="1">
      <c r="A82" s="269" t="inlineStr">
        <is>
          <t xml:space="preserve">7. Regulatory / Permit-Driven Change</t>
        </is>
      </c>
      <c r="B82" s="269" t="inlineStr">
        <is>
          <t xml:space="preserve">Administrative update. Change requires notification to a regulatory body but no amendment to existing permits or licences</t>
        </is>
      </c>
      <c r="C82" s="269" t="inlineStr">
        <is>
          <t xml:space="preserve">Permit amendment. Change requires amendment to one or more existing environmental or operating permits</t>
        </is>
      </c>
      <c r="D82" s="269" t="inlineStr">
        <is>
          <t xml:space="preserve">New permit or consent required. Change requires a new licence, permit, or regulatory consent (e.g. Environmental Permit, HSE Reports, Hazardous Substances Consent) prior to implementation</t>
        </is>
      </c>
    </row>
    <row r="83" ht="144.0" customHeight="1">
      <c r="A83" s="269" t="inlineStr">
        <is>
          <t xml:space="preserve">8. Changes to Utility &amp; HSE Protection Systems</t>
        </is>
      </c>
      <c r="B83" s="269" t="inlineStr">
        <is>
          <t xml:space="preserve">Minor adjustment. Modification to utility systems (steam, air, nitrogen, water) or HSE protection infrastructure (bunding, drainage, fire suppression, gas detection) within existing design parameters and with no reduction in protection standard</t>
        </is>
      </c>
      <c r="C83" s="269" t="inlineStr">
        <is>
          <t xml:space="preserve">Moderate modification. Change to utility systems or HSE protection infrastructure that temporarily reduces protection standard but with compensatory measures defined and in place; or change that requires review and update of inspection or maintenance schedules</t>
        </is>
      </c>
      <c r="D83" s="269" t="inlineStr">
        <is>
          <t xml:space="preserve">Significant modification or removal. Change that permanently reduces the standard of HSE protection (e.g. reduction in bund capacity, removal or relocation of gas detection, modification to fire suppression coverage); or change to utility systems that affects the operability of safety-critical equipment</t>
        </is>
      </c>
    </row>
    <row r="85">
      <c r="A85" s="12" t="inlineStr">
        <is>
          <t xml:space="preserve">Automatic Major list (always Major)</t>
        </is>
      </c>
    </row>
    <row r="86">
      <c r="A86" s="269" t="inlineStr">
        <is>
          <t xml:space="preserve">Landing of a floating deck / roof (IFR landing)</t>
        </is>
      </c>
    </row>
    <row r="87">
      <c r="A87" s="269" t="inlineStr">
        <is>
          <t xml:space="preserve">Tank entry</t>
        </is>
      </c>
    </row>
    <row r="88">
      <c r="A88" s="269" t="inlineStr">
        <is>
          <t xml:space="preserve">Any change to Safety Critical Equipment purchasing, maintenance or spares holding</t>
        </is>
      </c>
    </row>
    <row r="89">
      <c r="A89" s="269" t="inlineStr">
        <is>
          <t xml:space="preserve">Safety Critical Equipment out of service / safeguard bypassed (any duration)</t>
        </is>
      </c>
    </row>
    <row r="90">
      <c r="A90" s="269" t="inlineStr">
        <is>
          <t xml:space="preserve">Over-capacity of a dry bulk terminal [TBC]</t>
        </is>
      </c>
    </row>
  </sheetData>
  <hyperlinks>
    <hyperlink ref="A1" location="'Cover Sheet'!A1" display="Lookup Field Values" xr:uid="{00000000-0004-0000-0800-000000000000}"/>
  </hyperlinks>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23"/>
  <sheetViews>
    <sheetView showGridLines="0" zoomScale="85" zoomScaleNormal="85" workbookViewId="0">
      <selection activeCell="F7" sqref="F7"/>
    </sheetView>
  </sheetViews>
  <sheetFormatPr defaultRowHeight="14.4" x14ac:dyDescent="0.55000000000000004"/>
  <cols>
    <col min="1" max="1" width="6.1015625" customWidth="1"/>
    <col min="2" max="2" width="27.41796875" customWidth="1"/>
    <col min="3" max="3" width="25" bestFit="1" customWidth="1"/>
    <col min="4" max="4" width="63" customWidth="1"/>
    <col min="5" max="5" width="15.41796875" customWidth="1"/>
    <col min="6" max="6" width="82.41796875" customWidth="1"/>
    <col min="7" max="7" width="55" customWidth="1"/>
  </cols>
  <sheetData>
    <row r="1" ht="27" x14ac:dyDescent="0.85">
      <c r="A1" s="23" t="s">
        <v>60</v>
      </c>
      <c r="B1" s="23"/>
      <c r="C1" s="17"/>
      <c r="D1" s="4"/>
      <c r="E1" s="4"/>
      <c r="F1" s="4"/>
    </row>
    <row r="2" x14ac:dyDescent="0.55000000000000004">
      <c r="A2" s="26" t="s">
        <v>61</v>
      </c>
      <c r="B2" s="4"/>
      <c r="C2" s="17"/>
      <c r="D2" s="4"/>
      <c r="E2" s="4"/>
      <c r="F2" s="4"/>
    </row>
    <row r="3" x14ac:dyDescent="0.55000000000000004">
      <c r="A3" s="18"/>
      <c r="B3" s="4"/>
      <c r="C3" s="17"/>
      <c r="D3" s="4"/>
      <c r="E3" s="4"/>
      <c r="F3" s="4"/>
    </row>
    <row r="4" s="29" customFormat="1" x14ac:dyDescent="0.55000000000000004">
      <c r="A4" s="12" t="s">
        <v>37</v>
      </c>
      <c r="B4" s="12" t="s">
        <v>62</v>
      </c>
      <c r="C4" s="12" t="s">
        <v>63</v>
      </c>
      <c r="D4" s="12" t="s">
        <v>19</v>
      </c>
      <c r="E4" s="12" t="s">
        <v>64</v>
      </c>
      <c r="F4" s="12" t="s">
        <v>65</v>
      </c>
      <c r="G4" s="12" t="inlineStr">
        <is>
          <t xml:space="preserve">Impala Notes</t>
        </is>
      </c>
    </row>
    <row r="5" s="29" customFormat="1" x14ac:dyDescent="0.55000000000000004">
      <c r="A5" s="41" t="s">
        <v>145</v>
      </c>
      <c r="B5" s="41" t="s">
        <v>251</v>
      </c>
      <c r="C5" s="41" t="s">
        <v>226</v>
      </c>
      <c r="D5" s="41" t="s">
        <v>272</v>
      </c>
      <c r="E5" s="41" t="s">
        <v>277</v>
      </c>
      <c r="F5" s="41" t="s">
        <v>273</v>
      </c>
    </row>
    <row r="6" s="29" customFormat="1" ht="43.2" x14ac:dyDescent="0.55000000000000004">
      <c r="A6" s="41" t="s">
        <v>146</v>
      </c>
      <c r="B6" s="41" t="s">
        <v>251</v>
      </c>
      <c r="C6" s="41" t="s">
        <v>274</v>
      </c>
      <c r="D6" s="41" t="s">
        <v>275</v>
      </c>
      <c r="E6" s="41" t="s">
        <v>276</v>
      </c>
      <c r="F6" s="106" t="s">
        <v>281</v>
      </c>
      <c r="G6" s="250" t="inlineStr">
        <is>
          <t xml:space="preserve">180-day maximum to be confirmed against Impala procedure [TBC].</t>
        </is>
      </c>
    </row>
    <row r="7" s="29" customFormat="1" ht="43.2" x14ac:dyDescent="0.55000000000000004">
      <c r="A7" s="41" t="s">
        <v>147</v>
      </c>
      <c r="B7" s="157" t="s">
        <v>251</v>
      </c>
      <c r="C7" s="157" t="s">
        <v>449</v>
      </c>
      <c r="D7" s="157" t="s">
        <v>275</v>
      </c>
      <c r="E7" s="156" t="s">
        <v>133</v>
      </c>
      <c r="F7" s="106" t="s">
        <v>281</v>
      </c>
      <c r="G7" s="250" t="inlineStr">
        <is>
          <t xml:space="preserve">180-day maximum to be confirmed against Impala procedure [TBC].</t>
        </is>
      </c>
    </row>
    <row r="8" x14ac:dyDescent="0.55000000000000004">
      <c r="A8" s="41" t="s">
        <v>148</v>
      </c>
      <c r="B8" s="157" t="s">
        <v>251</v>
      </c>
      <c r="C8" s="157" t="s">
        <v>223</v>
      </c>
      <c r="D8" s="157" t="s">
        <v>272</v>
      </c>
      <c r="E8" s="157" t="s">
        <v>134</v>
      </c>
      <c r="F8" s="157" t="s">
        <v>278</v>
      </c>
    </row>
    <row r="9" ht="28.8" x14ac:dyDescent="0.55000000000000004">
      <c r="A9" s="41" t="s">
        <v>287</v>
      </c>
      <c r="B9" s="157" t="s">
        <v>251</v>
      </c>
      <c r="C9" s="157" t="s">
        <v>279</v>
      </c>
      <c r="D9" s="157"/>
      <c r="E9" s="157" t="s">
        <v>133</v>
      </c>
      <c r="F9" s="158" t="s">
        <v>282</v>
      </c>
      <c r="G9" s="250" t="inlineStr">
        <is>
          <t xml:space="preserve">Name contradicts the rule (date must be on/after Today) - rename.</t>
        </is>
      </c>
    </row>
    <row r="10" ht="43.2" x14ac:dyDescent="0.55000000000000004">
      <c r="A10" s="41" t="s">
        <v>288</v>
      </c>
      <c r="B10" s="157" t="s">
        <v>251</v>
      </c>
      <c r="C10" s="157" t="s">
        <v>280</v>
      </c>
      <c r="D10" s="157" t="s">
        <v>283</v>
      </c>
      <c r="E10" s="157" t="s">
        <v>134</v>
      </c>
      <c r="F10" s="158" t="s">
        <v>284</v>
      </c>
    </row>
    <row r="11" ht="28.8" x14ac:dyDescent="0.55000000000000004">
      <c r="A11" s="41" t="s">
        <v>299</v>
      </c>
      <c r="B11" s="157" t="s">
        <v>251</v>
      </c>
      <c r="C11" s="157" t="s">
        <v>285</v>
      </c>
      <c r="D11" s="157" t="s">
        <v>272</v>
      </c>
      <c r="E11" s="157" t="s">
        <v>134</v>
      </c>
      <c r="F11" s="158" t="s">
        <v>286</v>
      </c>
      <c r="G11" s="250" t="inlineStr">
        <is>
          <t xml:space="preserve">Screening questions filtered by Type of Change, stage, Grade and location (Universal / Liquids / Dry).</t>
        </is>
      </c>
    </row>
    <row r="12" ht="28.8" x14ac:dyDescent="0.55000000000000004">
      <c r="A12" s="41" t="s">
        <v>300</v>
      </c>
      <c r="B12" s="157" t="s">
        <v>252</v>
      </c>
      <c r="C12" s="157" t="s">
        <v>289</v>
      </c>
      <c r="D12" s="157"/>
      <c r="E12" s="157" t="s">
        <v>276</v>
      </c>
      <c r="F12" s="158" t="s">
        <v>290</v>
      </c>
    </row>
    <row r="13" ht="28.8" x14ac:dyDescent="0.55000000000000004">
      <c r="A13" s="41" t="s">
        <v>301</v>
      </c>
      <c r="B13" s="157" t="s">
        <v>252</v>
      </c>
      <c r="C13" s="157" t="s">
        <v>291</v>
      </c>
      <c r="D13" s="157"/>
      <c r="E13" s="157" t="s">
        <v>276</v>
      </c>
      <c r="F13" s="158" t="s">
        <v>292</v>
      </c>
    </row>
    <row r="14" ht="43.2" x14ac:dyDescent="0.55000000000000004">
      <c r="A14" s="41" t="s">
        <v>302</v>
      </c>
      <c r="B14" s="157" t="s">
        <v>260</v>
      </c>
      <c r="C14" s="157" t="s">
        <v>293</v>
      </c>
      <c r="D14" s="157"/>
      <c r="E14" s="157" t="s">
        <v>276</v>
      </c>
      <c r="F14" s="158" t="s">
        <v>294</v>
      </c>
    </row>
    <row r="15" ht="43.2" x14ac:dyDescent="0.55000000000000004">
      <c r="A15" s="41" t="s">
        <v>303</v>
      </c>
      <c r="B15" s="157" t="s">
        <v>260</v>
      </c>
      <c r="C15" s="157" t="s">
        <v>289</v>
      </c>
      <c r="D15" s="157"/>
      <c r="E15" s="157" t="s">
        <v>276</v>
      </c>
      <c r="F15" s="158" t="s">
        <v>295</v>
      </c>
      <c r="G15" s="250" t="inlineStr">
        <is>
          <t xml:space="preserve">Logic inverted: should be 'If DueDate &lt; TODAY'. As written it blocks every approval with a future due date.</t>
        </is>
      </c>
    </row>
    <row r="16" ht="28.8" x14ac:dyDescent="0.55000000000000004">
      <c r="A16" s="41" t="s">
        <v>304</v>
      </c>
      <c r="B16" s="157" t="s">
        <v>296</v>
      </c>
      <c r="C16" s="157" t="s">
        <v>373</v>
      </c>
      <c r="D16" s="157"/>
      <c r="E16" s="157" t="s">
        <v>133</v>
      </c>
      <c r="F16" s="158" t="s">
        <v>297</v>
      </c>
    </row>
    <row r="17" ht="28.8" x14ac:dyDescent="0.55000000000000004">
      <c r="A17" s="41"/>
      <c r="B17" s="41" t="s">
        <v>296</v>
      </c>
      <c r="C17" s="41" t="s">
        <v>374</v>
      </c>
      <c r="D17" s="41"/>
      <c r="E17" s="41" t="s">
        <v>276</v>
      </c>
      <c r="F17" s="106" t="s">
        <v>298</v>
      </c>
    </row>
    <row r="18" ht="28.8" customHeight="1">
      <c r="A18" s="250" t="inlineStr">
        <is>
          <t xml:space="preserve">AH13</t>
        </is>
      </c>
      <c r="B18" s="272" t="inlineStr">
        <is>
          <t xml:space="preserve">MOC</t>
        </is>
      </c>
      <c r="C18" s="272" t="inlineStr">
        <is>
          <t xml:space="preserve">Automatic Major validation</t>
        </is>
      </c>
      <c r="D18" s="272" t="inlineStr">
        <is>
          <t xml:space="preserve">Activities on the Automatic Major list must be graded Major.</t>
        </is>
      </c>
      <c r="E18" s="272" t="inlineStr">
        <is>
          <t xml:space="preserve">Create, Update</t>
        </is>
      </c>
      <c r="F18" s="273" t="inlineStr">
        <is>
          <t xml:space="preserve">If AutomaticMajor = Yes and ChangeImpact &lt;&gt; 'Major'
• then error: 'Activities on the Automatic Major list must be graded Major.'</t>
        </is>
      </c>
      <c r="G18" s="250" t="inlineStr">
        <is>
          <t xml:space="preserve">A - Impala requirement.</t>
        </is>
      </c>
    </row>
    <row r="19" ht="28.8" customHeight="1">
      <c r="A19" s="250" t="inlineStr">
        <is>
          <t xml:space="preserve">AH14</t>
        </is>
      </c>
      <c r="B19" s="272" t="inlineStr">
        <is>
          <t xml:space="preserve">MOC</t>
        </is>
      </c>
      <c r="C19" s="272" t="inlineStr">
        <is>
          <t xml:space="preserve">Approval stage gate</t>
        </is>
      </c>
      <c r="D19" s="272" t="inlineStr">
        <is>
          <t xml:space="preserve">At least one approval before leaving the Approval stage.</t>
        </is>
      </c>
      <c r="E19" s="272" t="inlineStr">
        <is>
          <t xml:space="preserve">Update</t>
        </is>
      </c>
      <c r="F19" s="273" t="inlineStr">
        <is>
          <t xml:space="preserve">If Workflow.CurrentStage = 'Approval' and action = Submit and count(Approvals) = 0
• then error: 'At least one approval is required.'</t>
        </is>
      </c>
      <c r="G19" s="250" t="inlineStr">
        <is>
          <t xml:space="preserve">A - Impala requirement.</t>
        </is>
      </c>
    </row>
    <row r="20" ht="43.2" customHeight="1">
      <c r="A20" s="250" t="inlineStr">
        <is>
          <t xml:space="preserve">AH15</t>
        </is>
      </c>
      <c r="B20" s="272" t="inlineStr">
        <is>
          <t xml:space="preserve">MOC Approval</t>
        </is>
      </c>
      <c r="C20" s="272" t="inlineStr">
        <is>
          <t xml:space="preserve">Sequential approvals</t>
        </is>
      </c>
      <c r="D20" s="272" t="inlineStr">
        <is>
          <t xml:space="preserve">Request next approval level only when the previous one is closed.</t>
        </is>
      </c>
      <c r="E20" s="272" t="inlineStr">
        <is>
          <t xml:space="preserve">Update</t>
        </is>
      </c>
      <c r="F20" s="273" t="inlineStr">
        <is>
          <t xml:space="preserve">When all Local approvals are Closed • submit Regional approvals (Draft &gt; In Progress).
When all Regional approvals are Closed • submit Global approvals. [Intelex to propose solution / confirm scope]</t>
        </is>
      </c>
      <c r="G20" s="250" t="inlineStr">
        <is>
          <t xml:space="preserve">A - Impala requirement.</t>
        </is>
      </c>
    </row>
    <row r="21" ht="43.2" customHeight="1">
      <c r="A21" s="250" t="inlineStr">
        <is>
          <t xml:space="preserve">AH16</t>
        </is>
      </c>
      <c r="B21" s="272" t="inlineStr">
        <is>
          <t xml:space="preserve">MOC</t>
        </is>
      </c>
      <c r="C21" s="272" t="inlineStr">
        <is>
          <t xml:space="preserve">Temporary change extension limit</t>
        </is>
      </c>
      <c r="D21" s="272" t="inlineStr">
        <is>
          <t xml:space="preserve">Max 3 extensions (BRD RULE-B3-08).</t>
        </is>
      </c>
      <c r="E21" s="272" t="inlineStr">
        <is>
          <t xml:space="preserve">Create, Update</t>
        </is>
      </c>
      <c r="F21" s="273" t="inlineStr">
        <is>
          <t xml:space="preserve">If NumberOfExtensions &gt; 3
• then error: 'A temporary change cannot be extended more than 3 times - raise a permanent MOC.'</t>
        </is>
      </c>
      <c r="G21" s="250" t="inlineStr">
        <is>
          <t xml:space="preserve">A - Impala requirement.</t>
        </is>
      </c>
    </row>
    <row r="22" ht="43.2" customHeight="1">
      <c r="A22" s="250" t="inlineStr">
        <is>
          <t xml:space="preserve">AH17</t>
        </is>
      </c>
      <c r="B22" s="272" t="inlineStr">
        <is>
          <t xml:space="preserve">MOC</t>
        </is>
      </c>
      <c r="C22" s="272" t="inlineStr">
        <is>
          <t xml:space="preserve">Emergency regularisation gate</t>
        </is>
      </c>
      <c r="D22" s="272" t="inlineStr">
        <is>
          <t xml:space="preserve">Emergency MOC cannot close until regularised (BRD RULE-B3-14).</t>
        </is>
      </c>
      <c r="E22" s="272" t="inlineStr">
        <is>
          <t xml:space="preserve">Update</t>
        </is>
      </c>
      <c r="F22" s="273" t="inlineStr">
        <is>
          <t xml:space="preserve">If EmergencyChange = Yes and action = Close and (unanswered screening questions or open tasks)
• then error: 'Complete the retrospective MOC dossier before closing.'</t>
        </is>
      </c>
      <c r="G22" s="250" t="inlineStr">
        <is>
          <t xml:space="preserve">A - Impala requirement.</t>
        </is>
      </c>
    </row>
    <row r="23" x14ac:dyDescent="0.55000000000000004">
      <c r="A23" s="159" t="s">
        <v>76</v>
      </c>
      <c r="B23" s="159"/>
      <c r="C23" s="160">
        <f>SUBTOTAL(103,Table6[Action Handler Name])</f>
        <v>13</v>
      </c>
      <c r="D23" s="159"/>
      <c r="E23" s="159"/>
      <c r="F23" s="159"/>
    </row>
  </sheetData>
  <dataConsolidate/>
  <dataValidations disablePrompts="1" count="1">
    <dataValidation type="list" allowBlank="1" showInputMessage="1" sqref="E5:E6 E8:E17" xr:uid="{00000000-0002-0000-0900-000000000000}">
      <formula1>ActionTriggers</formula1>
    </dataValidation>
  </dataValidations>
  <hyperlinks>
    <hyperlink ref="A1" location="'Cover Sheet'!A1" display="Action Handler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N15"/>
  <sheetViews>
    <sheetView showGridLines="0" zoomScale="85" zoomScaleNormal="85" workbookViewId="0">
      <selection activeCell="F4" sqref="F4:J4"/>
    </sheetView>
  </sheetViews>
  <sheetFormatPr defaultRowHeight="14.4" x14ac:dyDescent="0.55000000000000004"/>
  <cols>
    <col min="1" max="1" width="6.68359375" customWidth="1"/>
    <col min="2" max="2" width="31.89453125" customWidth="1"/>
    <col min="3" max="3" width="11" customWidth="1"/>
    <col min="4" max="5" width="36.5234375" customWidth="1"/>
    <col min="6" max="10" width="20.68359375" customWidth="1"/>
    <col min="11" max="11" width="21.1015625" bestFit="1" customWidth="1"/>
    <col min="12" max="12" width="23.3125" bestFit="1" customWidth="1"/>
    <col min="14" max="14" width="50" customWidth="1"/>
  </cols>
  <sheetData>
    <row r="1" s="4" customFormat="1" ht="27" x14ac:dyDescent="0.85">
      <c r="A1" s="23" t="s">
        <v>82</v>
      </c>
      <c r="B1" s="23"/>
      <c r="C1" s="7"/>
      <c r="D1" s="7"/>
      <c r="E1" s="7"/>
    </row>
    <row r="2" s="4" customFormat="1" x14ac:dyDescent="0.55000000000000004">
      <c r="A2" s="24" t="s">
        <v>30</v>
      </c>
      <c r="C2" s="8"/>
    </row>
    <row r="3" s="4" customFormat="1" x14ac:dyDescent="0.55000000000000004"/>
    <row r="4" s="172" customFormat="1" ht="28.8" x14ac:dyDescent="0.55000000000000004">
      <c r="A4" s="170" t="s">
        <v>37</v>
      </c>
      <c r="B4" s="170" t="s">
        <v>24</v>
      </c>
      <c r="C4" s="170" t="s">
        <v>36</v>
      </c>
      <c r="D4" s="170" t="s">
        <v>19</v>
      </c>
      <c r="E4" s="170" t="s">
        <v>543</v>
      </c>
      <c r="F4" s="171" t="s">
        <v>13</v>
      </c>
      <c r="G4" s="171" t="s">
        <v>483</v>
      </c>
      <c r="H4" s="171" t="s">
        <v>484</v>
      </c>
      <c r="I4" s="171" t="s">
        <v>507</v>
      </c>
      <c r="J4" s="171" t="s">
        <v>508</v>
      </c>
      <c r="K4" s="170" t="s">
        <v>34</v>
      </c>
      <c r="L4" s="170" t="s">
        <v>679</v>
      </c>
      <c r="M4" s="170" t="s">
        <v>35</v>
      </c>
      <c r="N4" s="170" t="inlineStr">
        <is>
          <t xml:space="preserve">Impala Notes</t>
        </is>
      </c>
    </row>
    <row r="5" s="29" customFormat="1" x14ac:dyDescent="0.55000000000000004">
      <c r="A5" s="39" t="s">
        <v>141</v>
      </c>
      <c r="B5" s="101" t="s">
        <v>270</v>
      </c>
      <c r="C5" s="101" t="s">
        <v>139</v>
      </c>
      <c r="D5" s="101"/>
      <c r="E5" s="101"/>
      <c r="F5" s="2" t="s">
        <v>14</v>
      </c>
      <c r="G5" s="2" t="s">
        <v>14</v>
      </c>
      <c r="H5" s="2" t="s">
        <v>15</v>
      </c>
      <c r="I5" s="2" t="s">
        <v>14</v>
      </c>
      <c r="J5" s="2" t="s">
        <v>14</v>
      </c>
      <c r="K5" s="101" t="s">
        <v>184</v>
      </c>
      <c r="L5" s="101" t="s">
        <v>184</v>
      </c>
      <c r="M5" s="101" t="s">
        <v>184</v>
      </c>
    </row>
    <row r="6" ht="72" x14ac:dyDescent="0.55000000000000004">
      <c r="A6" s="41" t="s">
        <v>142</v>
      </c>
      <c r="B6" s="41" t="s">
        <v>271</v>
      </c>
      <c r="C6" s="102" t="s">
        <v>140</v>
      </c>
      <c r="D6" s="102" t="s">
        <v>680</v>
      </c>
      <c r="E6" s="274" t="inlineStr">
        <is>
          <t xml:space="preserve">MOC No. | Location | Change Description | Emergency Change? | Temporary Change? | Type of Change | Grade of Change | Requested Date Change | Status | Workflow Status</t>
        </is>
      </c>
      <c r="F6" s="103" t="s">
        <v>14</v>
      </c>
      <c r="G6" s="103" t="s">
        <v>14</v>
      </c>
      <c r="H6" s="103" t="s">
        <v>14</v>
      </c>
      <c r="I6" s="2" t="s">
        <v>14</v>
      </c>
      <c r="J6" s="2" t="s">
        <v>14</v>
      </c>
      <c r="K6" s="102" t="s">
        <v>485</v>
      </c>
      <c r="L6" s="102" t="s">
        <v>178</v>
      </c>
      <c r="M6" s="102" t="s">
        <v>184</v>
      </c>
      <c r="N6" s="275" t="inlineStr">
        <is>
          <t xml:space="preserve">M - columns: Replacement in Kind removed (unless re-used as 'Simplified MOC?' [TBC]); Type of Change + Grade of Change. Grouping by Status instead of Category [TBC].</t>
        </is>
      </c>
    </row>
    <row r="7" ht="43.2" x14ac:dyDescent="0.55000000000000004">
      <c r="A7" s="39" t="s">
        <v>143</v>
      </c>
      <c r="B7" s="41" t="s">
        <v>253</v>
      </c>
      <c r="C7" s="102" t="s">
        <v>140</v>
      </c>
      <c r="D7" s="102" t="s">
        <v>550</v>
      </c>
      <c r="E7" s="102" t="s">
        <v>545</v>
      </c>
      <c r="F7" s="103" t="s">
        <v>14</v>
      </c>
      <c r="G7" s="103" t="s">
        <v>14</v>
      </c>
      <c r="H7" s="103" t="s">
        <v>14</v>
      </c>
      <c r="I7" s="2" t="s">
        <v>14</v>
      </c>
      <c r="J7" s="2" t="s">
        <v>14</v>
      </c>
      <c r="K7" s="101" t="s">
        <v>184</v>
      </c>
      <c r="L7" s="101" t="s">
        <v>682</v>
      </c>
      <c r="M7" s="101" t="s">
        <v>184</v>
      </c>
    </row>
    <row r="8" ht="43.2" x14ac:dyDescent="0.55000000000000004">
      <c r="A8" s="41" t="s">
        <v>144</v>
      </c>
      <c r="B8" s="39" t="s">
        <v>261</v>
      </c>
      <c r="C8" s="42" t="s">
        <v>140</v>
      </c>
      <c r="D8" s="42" t="s">
        <v>551</v>
      </c>
      <c r="E8" s="42" t="s">
        <v>546</v>
      </c>
      <c r="F8" s="104" t="s">
        <v>14</v>
      </c>
      <c r="G8" s="104" t="s">
        <v>14</v>
      </c>
      <c r="H8" s="104" t="s">
        <v>14</v>
      </c>
      <c r="I8" s="2" t="s">
        <v>14</v>
      </c>
      <c r="J8" s="2" t="s">
        <v>14</v>
      </c>
      <c r="K8" s="101" t="s">
        <v>184</v>
      </c>
      <c r="L8" s="101" t="s">
        <v>682</v>
      </c>
      <c r="M8" s="101" t="s">
        <v>184</v>
      </c>
    </row>
    <row r="9" x14ac:dyDescent="0.55000000000000004">
      <c r="A9" s="39" t="s">
        <v>266</v>
      </c>
      <c r="B9" s="39" t="s">
        <v>476</v>
      </c>
      <c r="C9" s="39" t="s">
        <v>140</v>
      </c>
      <c r="D9" s="39"/>
      <c r="E9" s="39"/>
      <c r="F9" s="38" t="s">
        <v>14</v>
      </c>
      <c r="G9" s="38" t="s">
        <v>14</v>
      </c>
      <c r="H9" s="38" t="s">
        <v>14</v>
      </c>
      <c r="I9" s="38"/>
      <c r="J9" s="38"/>
      <c r="K9" s="101" t="s">
        <v>184</v>
      </c>
      <c r="L9" s="101" t="s">
        <v>184</v>
      </c>
      <c r="M9" s="101" t="s">
        <v>184</v>
      </c>
    </row>
    <row r="10" s="29" customFormat="1" ht="57.6" x14ac:dyDescent="0.55000000000000004">
      <c r="A10" s="41" t="s">
        <v>477</v>
      </c>
      <c r="B10" s="101" t="s">
        <v>480</v>
      </c>
      <c r="C10" s="101" t="s">
        <v>140</v>
      </c>
      <c r="D10" s="101"/>
      <c r="E10" s="53" t="s">
        <v>547</v>
      </c>
      <c r="F10" s="2" t="s">
        <v>14</v>
      </c>
      <c r="G10" s="2" t="s">
        <v>15</v>
      </c>
      <c r="H10" s="38" t="s">
        <v>14</v>
      </c>
      <c r="I10" s="2" t="s">
        <v>15</v>
      </c>
      <c r="J10" s="2" t="s">
        <v>15</v>
      </c>
      <c r="K10" s="101" t="s">
        <v>184</v>
      </c>
      <c r="L10" s="101" t="s">
        <v>78</v>
      </c>
      <c r="M10" s="101" t="s">
        <v>184</v>
      </c>
      <c r="N10" s="275" t="inlineStr">
        <is>
          <t xml:space="preserve">Screening questions loaded by Excel import (Universal / Liquids / Dry).</t>
        </is>
      </c>
    </row>
    <row r="11" s="29" customFormat="1" ht="57.6" x14ac:dyDescent="0.55000000000000004">
      <c r="A11" s="39" t="s">
        <v>478</v>
      </c>
      <c r="B11" s="101" t="s">
        <v>481</v>
      </c>
      <c r="C11" s="101" t="s">
        <v>140</v>
      </c>
      <c r="D11" s="101"/>
      <c r="E11" s="53" t="s">
        <v>548</v>
      </c>
      <c r="F11" s="2" t="s">
        <v>14</v>
      </c>
      <c r="G11" s="2" t="s">
        <v>15</v>
      </c>
      <c r="H11" s="38" t="s">
        <v>14</v>
      </c>
      <c r="I11" s="2" t="s">
        <v>15</v>
      </c>
      <c r="J11" s="2" t="s">
        <v>15</v>
      </c>
      <c r="K11" s="101" t="s">
        <v>184</v>
      </c>
      <c r="L11" s="101" t="s">
        <v>683</v>
      </c>
      <c r="M11" s="101" t="s">
        <v>184</v>
      </c>
    </row>
    <row r="12" s="29" customFormat="1" ht="86.4" x14ac:dyDescent="0.55000000000000004">
      <c r="A12" s="41" t="s">
        <v>479</v>
      </c>
      <c r="B12" s="101" t="s">
        <v>482</v>
      </c>
      <c r="C12" s="101" t="s">
        <v>140</v>
      </c>
      <c r="D12" s="101"/>
      <c r="E12" s="53" t="s">
        <v>549</v>
      </c>
      <c r="F12" s="2" t="s">
        <v>14</v>
      </c>
      <c r="G12" s="2" t="s">
        <v>15</v>
      </c>
      <c r="H12" s="38" t="s">
        <v>14</v>
      </c>
      <c r="I12" s="2" t="s">
        <v>15</v>
      </c>
      <c r="J12" s="2" t="s">
        <v>15</v>
      </c>
      <c r="K12" s="101" t="s">
        <v>184</v>
      </c>
      <c r="L12" s="101" t="s">
        <v>684</v>
      </c>
      <c r="M12" s="101" t="s">
        <v>184</v>
      </c>
    </row>
    <row r="13" x14ac:dyDescent="0.55000000000000004" ht="72.0" customHeight="1">
      <c r="A13" s="250" t="inlineStr">
        <is>
          <t xml:space="preserve">T06</t>
        </is>
      </c>
      <c r="B13" s="246" t="inlineStr">
        <is>
          <t xml:space="preserve">My MOCs</t>
        </is>
      </c>
      <c r="C13" s="276" t="inlineStr">
        <is>
          <t xml:space="preserve">Inventory</t>
        </is>
      </c>
      <c r="D13" s="276" t="inlineStr">
        <is>
          <t xml:space="preserve">MOCs where the user is Change Requester or Person Responsible</t>
        </is>
      </c>
      <c r="E13" s="276" t="inlineStr">
        <is>
          <t xml:space="preserve">MOC No. | Location | Change Description | Type of Change | Grade of Change | Status | Person Responsible</t>
        </is>
      </c>
      <c r="F13" s="277" t="inlineStr">
        <is>
          <t xml:space="preserve">Y</t>
        </is>
      </c>
      <c r="G13" s="277" t="inlineStr">
        <is>
          <t xml:space="preserve">Y</t>
        </is>
      </c>
      <c r="H13" s="277" t="inlineStr">
        <is>
          <t xml:space="preserve">Y</t>
        </is>
      </c>
      <c r="I13" s="278" t="inlineStr">
        <is>
          <t xml:space="preserve">Y</t>
        </is>
      </c>
      <c r="J13" s="278" t="inlineStr">
        <is>
          <t xml:space="preserve">Y</t>
        </is>
      </c>
      <c r="K13" s="275" t="inlineStr">
        <is>
          <t xml:space="preserve">MOC No. (descending)</t>
        </is>
      </c>
      <c r="L13" s="275" t="inlineStr">
        <is>
          <t xml:space="preserve">N/A</t>
        </is>
      </c>
      <c r="M13" s="275" t="inlineStr">
        <is>
          <t xml:space="preserve">Change Requester = Me OR Person Responsible = Me</t>
        </is>
      </c>
      <c r="N13" s="275" t="inlineStr">
        <is>
          <t xml:space="preserve">A - new tab.</t>
        </is>
      </c>
    </row>
    <row r="14" ht="86.4" customHeight="1">
      <c r="A14" s="250" t="inlineStr">
        <is>
          <t xml:space="preserve">T07</t>
        </is>
      </c>
      <c r="B14" s="246" t="inlineStr">
        <is>
          <t xml:space="preserve">Temporary Changes</t>
        </is>
      </c>
      <c r="C14" s="276" t="inlineStr">
        <is>
          <t xml:space="preserve">Inventory</t>
        </is>
      </c>
      <c r="D14" s="276" t="inlineStr">
        <is>
          <t xml:space="preserve">Open temporary changes ordered by expiry</t>
        </is>
      </c>
      <c r="E14" s="276" t="inlineStr">
        <is>
          <t xml:space="preserve">MOC No. | Location | Change Description | Change Expiry | Status | Person Responsible</t>
        </is>
      </c>
      <c r="F14" s="277" t="inlineStr">
        <is>
          <t xml:space="preserve">Y</t>
        </is>
      </c>
      <c r="G14" s="277" t="inlineStr">
        <is>
          <t xml:space="preserve">Y</t>
        </is>
      </c>
      <c r="H14" s="277" t="inlineStr">
        <is>
          <t xml:space="preserve">Y</t>
        </is>
      </c>
      <c r="I14" s="278" t="inlineStr">
        <is>
          <t xml:space="preserve">Y</t>
        </is>
      </c>
      <c r="J14" s="278" t="inlineStr">
        <is>
          <t xml:space="preserve">Y</t>
        </is>
      </c>
      <c r="K14" s="275" t="inlineStr">
        <is>
          <t xml:space="preserve">Change Expiry (ascending)</t>
        </is>
      </c>
      <c r="L14" s="275" t="inlineStr">
        <is>
          <t xml:space="preserve">N/A</t>
        </is>
      </c>
      <c r="M14" s="275" t="inlineStr">
        <is>
          <t xml:space="preserve">Temporary Change = Yes AND Status not Closed/Cancelled</t>
        </is>
      </c>
      <c r="N14" s="275" t="inlineStr">
        <is>
          <t xml:space="preserve">A - new tab.</t>
        </is>
      </c>
    </row>
    <row r="15" x14ac:dyDescent="0.55000000000000004">
      <c r="A15" t="s">
        <v>76</v>
      </c>
      <c r="B15" s="29">
        <f>SUBTOTAL(103,Table7[Tab Name])</f>
        <v>8</v>
      </c>
    </row>
  </sheetData>
  <phoneticPr fontId="24" type="noConversion"/>
  <conditionalFormatting sqref="F5:J13">
    <cfRule type="cellIs" dxfId="6" priority="1" operator="equal">
      <formula>"N"</formula>
    </cfRule>
  </conditionalFormatting>
  <dataValidations count="2">
    <dataValidation type="list" allowBlank="1" showInputMessage="1" showErrorMessage="1" sqref="C5:C13" xr:uid="{00000000-0002-0000-0A00-000001000000}">
      <formula1>TabTypes</formula1>
    </dataValidation>
    <dataValidation type="list" allowBlank="1" showInputMessage="1" showErrorMessage="1" sqref="F5:J13" xr:uid="{00000000-0002-0000-0A00-000000000000}">
      <formula1>YesNo</formula1>
    </dataValidation>
  </dataValidations>
  <hyperlinks>
    <hyperlink ref="A1" location="'Cover Sheet'!A1" display="Process Nonconformance Application Tabs" xr:uid="{00000000-0004-0000-0A00-000000000000}"/>
  </hyperlinks>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H50"/>
  <sheetViews>
    <sheetView showGridLines="0" tabSelected="1" topLeftCell="E6" zoomScaleNormal="100" workbookViewId="0">
      <selection activeCell="J15" sqref="J15"/>
    </sheetView>
  </sheetViews>
  <sheetFormatPr defaultRowHeight="14.4" x14ac:dyDescent="0.55000000000000004"/>
  <cols>
    <col min="1" max="1" width="41.5234375" customWidth="1"/>
    <col min="2" max="7" width="25.68359375" customWidth="1"/>
    <col min="8" max="8" width="60" customWidth="1"/>
  </cols>
  <sheetData>
    <row r="1" ht="48.75" customHeight="1" x14ac:dyDescent="0.55000000000000004">
      <c r="A1" s="28" t="s">
        <v>16</v>
      </c>
      <c r="B1" s="28"/>
    </row>
    <row r="2" ht="28.8" x14ac:dyDescent="0.55000000000000004">
      <c r="A2" s="12" t="s">
        <v>59</v>
      </c>
      <c r="B2" s="67" t="s">
        <v>13</v>
      </c>
      <c r="C2" s="171" t="s">
        <v>483</v>
      </c>
      <c r="D2" s="171" t="s">
        <v>484</v>
      </c>
      <c r="E2" s="171" t="s">
        <v>507</v>
      </c>
      <c r="F2" s="171" t="s">
        <v>508</v>
      </c>
      <c r="G2" s="171" t="s">
        <v>511</v>
      </c>
      <c r="H2" s="171" t="inlineStr">
        <is>
          <t xml:space="preserve">Impala Notes</t>
        </is>
      </c>
    </row>
    <row r="3" x14ac:dyDescent="0.55000000000000004" ht="57.6" customHeight="1">
      <c r="A3" s="101" t="s">
        <v>251</v>
      </c>
      <c r="B3" s="41" t="s">
        <v>505</v>
      </c>
      <c r="C3" s="41" t="s">
        <v>375</v>
      </c>
      <c r="D3" s="41" t="s">
        <v>152</v>
      </c>
      <c r="E3" s="41" t="s">
        <v>506</v>
      </c>
      <c r="F3" s="41" t="s">
        <v>375</v>
      </c>
      <c r="G3" t="s">
        <v>504</v>
      </c>
      <c r="H3" s="250" t="inlineStr">
        <is>
          <t xml:space="preserve">Standard Access = employees allowed to raise MOCs (Workday feed). Full Access = Regional/Global HSEC &amp; Operations. MOC Coordinators must also be in the 'Management of Change Coordinator' group to access the app. Delete only System Admin; others Archive [TBC].</t>
        </is>
      </c>
    </row>
    <row r="4" x14ac:dyDescent="0.55000000000000004" ht="28.8" customHeight="1">
      <c r="A4" s="150" t="s">
        <v>217</v>
      </c>
      <c r="B4" s="41" t="s">
        <v>505</v>
      </c>
      <c r="C4" s="41" t="s">
        <v>152</v>
      </c>
      <c r="D4" s="41" t="s">
        <v>152</v>
      </c>
      <c r="E4" s="41" t="s">
        <v>152</v>
      </c>
      <c r="F4" s="41" t="s">
        <v>152</v>
      </c>
      <c r="G4" t="s">
        <v>152</v>
      </c>
      <c r="H4" s="250" t="inlineStr">
        <is>
          <t xml:space="preserve">Type of Change data maintained by System Admin / MOC Administrator.</t>
        </is>
      </c>
    </row>
    <row r="5" x14ac:dyDescent="0.55000000000000004" ht="14.4" customHeight="1">
      <c r="A5" s="150" t="s">
        <v>250</v>
      </c>
      <c r="B5" s="41" t="s">
        <v>505</v>
      </c>
      <c r="C5" s="41" t="s">
        <v>152</v>
      </c>
      <c r="D5" s="41" t="s">
        <v>152</v>
      </c>
      <c r="E5" s="41" t="s">
        <v>506</v>
      </c>
      <c r="F5" s="41" t="s">
        <v>375</v>
      </c>
      <c r="G5" t="s">
        <v>786</v>
      </c>
      <c r="H5" s="250" t="inlineStr">
        <is>
          <t xml:space="preserve">Person Responsible: remove Delete (audit trail) [TBC].</t>
        </is>
      </c>
    </row>
    <row r="6" x14ac:dyDescent="0.55000000000000004" ht="28.8" customHeight="1">
      <c r="A6" s="150" t="s">
        <v>510</v>
      </c>
      <c r="B6" s="41" t="s">
        <v>505</v>
      </c>
      <c r="C6" s="41" t="s">
        <v>152</v>
      </c>
      <c r="D6" s="41" t="s">
        <v>152</v>
      </c>
      <c r="E6" s="41" t="s">
        <v>506</v>
      </c>
      <c r="F6" s="41" t="s">
        <v>375</v>
      </c>
      <c r="G6" t="s">
        <v>786</v>
      </c>
      <c r="H6" s="250" t="inlineStr">
        <is>
          <t xml:space="preserve">Person Responsible: remove Delete [TBC]. Task objects are shared with other apps - check impact.</t>
        </is>
      </c>
    </row>
    <row r="7" x14ac:dyDescent="0.55000000000000004">
      <c r="A7" s="50" t="s">
        <v>518</v>
      </c>
      <c r="B7" s="41" t="s">
        <v>505</v>
      </c>
      <c r="C7" s="41" t="s">
        <v>152</v>
      </c>
      <c r="D7" s="41" t="s">
        <v>152</v>
      </c>
      <c r="E7" s="41" t="s">
        <v>506</v>
      </c>
      <c r="F7" s="41" t="s">
        <v>375</v>
      </c>
      <c r="G7" t="s">
        <v>786</v>
      </c>
    </row>
    <row r="8" x14ac:dyDescent="0.55000000000000004">
      <c r="A8" s="47" t="s">
        <v>517</v>
      </c>
      <c r="B8" s="41" t="s">
        <v>505</v>
      </c>
      <c r="C8" s="41" t="s">
        <v>152</v>
      </c>
      <c r="D8" s="41" t="s">
        <v>152</v>
      </c>
      <c r="E8" s="41" t="s">
        <v>506</v>
      </c>
      <c r="F8" s="41" t="s">
        <v>375</v>
      </c>
      <c r="G8" t="s">
        <v>786</v>
      </c>
    </row>
    <row r="9" x14ac:dyDescent="0.55000000000000004">
      <c r="A9" s="50" t="s">
        <v>516</v>
      </c>
      <c r="B9" s="41" t="s">
        <v>505</v>
      </c>
      <c r="C9" s="41" t="s">
        <v>152</v>
      </c>
      <c r="D9" s="41" t="s">
        <v>152</v>
      </c>
      <c r="E9" s="41" t="s">
        <v>506</v>
      </c>
      <c r="F9" s="41" t="s">
        <v>375</v>
      </c>
      <c r="G9" t="s">
        <v>786</v>
      </c>
    </row>
    <row r="10" x14ac:dyDescent="0.55000000000000004">
      <c r="A10" s="150" t="s">
        <v>515</v>
      </c>
      <c r="B10" s="41" t="s">
        <v>505</v>
      </c>
      <c r="C10" s="41" t="s">
        <v>152</v>
      </c>
      <c r="D10" s="41" t="s">
        <v>152</v>
      </c>
      <c r="E10" s="41" t="s">
        <v>506</v>
      </c>
      <c r="F10" s="41" t="s">
        <v>375</v>
      </c>
      <c r="G10" t="s">
        <v>786</v>
      </c>
    </row>
    <row r="11" x14ac:dyDescent="0.55000000000000004">
      <c r="A11" s="150" t="s">
        <v>514</v>
      </c>
      <c r="B11" s="41" t="s">
        <v>505</v>
      </c>
      <c r="C11" s="41" t="s">
        <v>152</v>
      </c>
      <c r="D11" s="41" t="s">
        <v>152</v>
      </c>
      <c r="E11" s="41" t="s">
        <v>506</v>
      </c>
      <c r="F11" s="41" t="s">
        <v>375</v>
      </c>
      <c r="G11" t="s">
        <v>786</v>
      </c>
    </row>
    <row r="12" x14ac:dyDescent="0.55000000000000004">
      <c r="A12" s="150" t="s">
        <v>513</v>
      </c>
      <c r="B12" s="41" t="s">
        <v>505</v>
      </c>
      <c r="C12" s="41" t="s">
        <v>152</v>
      </c>
      <c r="D12" s="41" t="s">
        <v>152</v>
      </c>
      <c r="E12" s="41" t="s">
        <v>506</v>
      </c>
      <c r="F12" s="41" t="s">
        <v>375</v>
      </c>
      <c r="G12" t="s">
        <v>786</v>
      </c>
    </row>
    <row r="13" x14ac:dyDescent="0.55000000000000004">
      <c r="A13" s="150" t="s">
        <v>512</v>
      </c>
      <c r="B13" s="41" t="s">
        <v>505</v>
      </c>
      <c r="C13" s="41" t="s">
        <v>152</v>
      </c>
      <c r="D13" s="41" t="s">
        <v>152</v>
      </c>
      <c r="E13" s="41" t="s">
        <v>506</v>
      </c>
      <c r="F13" s="41" t="s">
        <v>375</v>
      </c>
      <c r="G13" t="s">
        <v>786</v>
      </c>
    </row>
    <row r="14" x14ac:dyDescent="0.55000000000000004" ht="28.8" customHeight="1">
      <c r="A14" s="150" t="s">
        <v>260</v>
      </c>
      <c r="B14" s="41" t="s">
        <v>505</v>
      </c>
      <c r="C14" s="41" t="s">
        <v>152</v>
      </c>
      <c r="D14" s="41" t="s">
        <v>152</v>
      </c>
      <c r="E14" s="41" t="s">
        <v>506</v>
      </c>
      <c r="F14" s="41" t="s">
        <v>375</v>
      </c>
      <c r="G14" t="s">
        <v>786</v>
      </c>
      <c r="H14" s="250" t="inlineStr">
        <is>
          <t xml:space="preserve">Approval types to be adapted (functional + level approvals) - permissions per type unchanged.</t>
        </is>
      </c>
    </row>
    <row r="15" x14ac:dyDescent="0.55000000000000004">
      <c r="A15" s="47" t="s">
        <v>358</v>
      </c>
      <c r="B15" s="41" t="s">
        <v>505</v>
      </c>
      <c r="C15" s="41" t="s">
        <v>152</v>
      </c>
      <c r="D15" s="41" t="s">
        <v>152</v>
      </c>
      <c r="E15" s="41" t="s">
        <v>506</v>
      </c>
      <c r="F15" s="41" t="s">
        <v>375</v>
      </c>
      <c r="G15" t="s">
        <v>786</v>
      </c>
    </row>
    <row r="16" x14ac:dyDescent="0.55000000000000004">
      <c r="A16" s="50" t="s">
        <v>359</v>
      </c>
      <c r="B16" s="41" t="s">
        <v>505</v>
      </c>
      <c r="C16" s="41" t="s">
        <v>152</v>
      </c>
      <c r="D16" s="41" t="s">
        <v>152</v>
      </c>
      <c r="E16" s="41" t="s">
        <v>506</v>
      </c>
      <c r="F16" s="41" t="s">
        <v>375</v>
      </c>
      <c r="G16" t="s">
        <v>786</v>
      </c>
    </row>
    <row r="17" x14ac:dyDescent="0.55000000000000004">
      <c r="A17" s="150" t="s">
        <v>360</v>
      </c>
      <c r="B17" s="41" t="s">
        <v>505</v>
      </c>
      <c r="C17" s="41" t="s">
        <v>152</v>
      </c>
      <c r="D17" s="41" t="s">
        <v>152</v>
      </c>
      <c r="E17" s="41" t="s">
        <v>506</v>
      </c>
      <c r="F17" s="41" t="s">
        <v>375</v>
      </c>
      <c r="G17" t="s">
        <v>786</v>
      </c>
    </row>
    <row r="18" x14ac:dyDescent="0.55000000000000004">
      <c r="A18" s="150" t="s">
        <v>364</v>
      </c>
      <c r="B18" s="41" t="s">
        <v>505</v>
      </c>
      <c r="C18" s="41" t="s">
        <v>152</v>
      </c>
      <c r="D18" s="41" t="s">
        <v>152</v>
      </c>
      <c r="E18" s="41" t="s">
        <v>506</v>
      </c>
      <c r="F18" s="41" t="s">
        <v>375</v>
      </c>
      <c r="G18" t="s">
        <v>786</v>
      </c>
    </row>
    <row r="19" x14ac:dyDescent="0.55000000000000004">
      <c r="A19" s="150" t="s">
        <v>365</v>
      </c>
      <c r="B19" s="41" t="s">
        <v>505</v>
      </c>
      <c r="C19" s="41" t="s">
        <v>152</v>
      </c>
      <c r="D19" s="41" t="s">
        <v>152</v>
      </c>
      <c r="E19" s="41" t="s">
        <v>506</v>
      </c>
      <c r="F19" s="41" t="s">
        <v>375</v>
      </c>
      <c r="G19" t="s">
        <v>786</v>
      </c>
    </row>
    <row r="20" x14ac:dyDescent="0.55000000000000004">
      <c r="A20" s="150" t="s">
        <v>366</v>
      </c>
      <c r="B20" s="41" t="s">
        <v>505</v>
      </c>
      <c r="C20" s="41" t="s">
        <v>152</v>
      </c>
      <c r="D20" s="41" t="s">
        <v>152</v>
      </c>
      <c r="E20" s="41" t="s">
        <v>506</v>
      </c>
      <c r="F20" s="41" t="s">
        <v>375</v>
      </c>
      <c r="G20" t="s">
        <v>786</v>
      </c>
    </row>
    <row r="21" x14ac:dyDescent="0.55000000000000004">
      <c r="A21" s="176"/>
      <c r="B21" s="41"/>
      <c r="C21" s="157"/>
      <c r="D21" s="157"/>
      <c r="E21" s="157"/>
      <c r="F21" s="157"/>
    </row>
    <row r="22" x14ac:dyDescent="0.55000000000000004" ht="28.8" customHeight="1">
      <c r="A22" s="101" t="s">
        <v>267</v>
      </c>
      <c r="B22" s="41" t="s">
        <v>505</v>
      </c>
      <c r="C22" s="41" t="s">
        <v>150</v>
      </c>
      <c r="D22" s="41" t="s">
        <v>681</v>
      </c>
      <c r="E22" s="41" t="s">
        <v>150</v>
      </c>
      <c r="F22" s="41" t="s">
        <v>150</v>
      </c>
      <c r="G22" s="41" t="s">
        <v>150</v>
      </c>
      <c r="H22" s="250" t="inlineStr">
        <is>
          <t xml:space="preserve">MOC Administrator (Content) = Global HSE MoC process owner(s) maintaining checklists, task and approval setups.</t>
        </is>
      </c>
    </row>
    <row r="23" x14ac:dyDescent="0.55000000000000004">
      <c r="A23" s="150" t="s">
        <v>268</v>
      </c>
      <c r="B23" s="41" t="s">
        <v>505</v>
      </c>
      <c r="C23" s="41" t="s">
        <v>150</v>
      </c>
      <c r="D23" s="41" t="s">
        <v>681</v>
      </c>
      <c r="E23" s="41" t="s">
        <v>150</v>
      </c>
      <c r="F23" s="41" t="s">
        <v>150</v>
      </c>
      <c r="G23" s="41" t="s">
        <v>150</v>
      </c>
    </row>
    <row r="24" x14ac:dyDescent="0.55000000000000004">
      <c r="A24" s="101" t="s">
        <v>269</v>
      </c>
      <c r="B24" s="41" t="s">
        <v>505</v>
      </c>
      <c r="C24" s="41" t="s">
        <v>150</v>
      </c>
      <c r="D24" s="41" t="s">
        <v>681</v>
      </c>
      <c r="E24" s="41" t="s">
        <v>150</v>
      </c>
      <c r="F24" s="41" t="s">
        <v>150</v>
      </c>
      <c r="G24" s="41" t="s">
        <v>150</v>
      </c>
    </row>
    <row r="25" x14ac:dyDescent="0.55000000000000004">
      <c r="A25" s="150" t="s">
        <v>335</v>
      </c>
      <c r="B25" s="41" t="s">
        <v>505</v>
      </c>
      <c r="C25" s="41" t="s">
        <v>150</v>
      </c>
      <c r="D25" s="41" t="s">
        <v>681</v>
      </c>
      <c r="E25" s="41" t="s">
        <v>150</v>
      </c>
      <c r="F25" s="41" t="s">
        <v>150</v>
      </c>
      <c r="G25" s="41" t="s">
        <v>150</v>
      </c>
    </row>
    <row r="28" x14ac:dyDescent="0.55000000000000004">
      <c r="A28" s="173" t="s">
        <v>33</v>
      </c>
      <c r="B28" s="2"/>
      <c r="C28" s="2"/>
    </row>
    <row r="29" x14ac:dyDescent="0.55000000000000004">
      <c r="A29" s="174" t="s">
        <v>486</v>
      </c>
      <c r="B29" s="2"/>
      <c r="C29" s="2"/>
    </row>
    <row r="30" x14ac:dyDescent="0.55000000000000004">
      <c r="A30" s="174" t="s">
        <v>487</v>
      </c>
      <c r="B30" s="2"/>
      <c r="C30" s="2"/>
    </row>
    <row r="31" x14ac:dyDescent="0.55000000000000004">
      <c r="A31" s="174" t="s">
        <v>488</v>
      </c>
      <c r="B31" s="2"/>
      <c r="C31" s="2"/>
    </row>
    <row r="32" x14ac:dyDescent="0.55000000000000004">
      <c r="A32" s="174" t="s">
        <v>489</v>
      </c>
      <c r="B32" s="2"/>
      <c r="C32" s="2"/>
    </row>
    <row r="33" x14ac:dyDescent="0.55000000000000004">
      <c r="A33" s="174" t="s">
        <v>503</v>
      </c>
    </row>
    <row r="34" x14ac:dyDescent="0.55000000000000004">
      <c r="A34" s="174" t="s">
        <v>490</v>
      </c>
    </row>
    <row r="35" x14ac:dyDescent="0.55000000000000004">
      <c r="A35" s="174" t="s">
        <v>491</v>
      </c>
    </row>
    <row r="36" x14ac:dyDescent="0.55000000000000004">
      <c r="A36" s="174" t="s">
        <v>509</v>
      </c>
    </row>
    <row r="37" x14ac:dyDescent="0.55000000000000004">
      <c r="A37" s="174" t="s">
        <v>492</v>
      </c>
    </row>
    <row r="38" x14ac:dyDescent="0.55000000000000004">
      <c r="A38" s="174" t="s">
        <v>493</v>
      </c>
    </row>
    <row r="39" x14ac:dyDescent="0.55000000000000004">
      <c r="A39" s="174" t="s">
        <v>494</v>
      </c>
    </row>
    <row r="40" x14ac:dyDescent="0.55000000000000004">
      <c r="A40" s="174" t="s">
        <v>495</v>
      </c>
    </row>
    <row r="41" x14ac:dyDescent="0.55000000000000004">
      <c r="A41" s="174" t="s">
        <v>496</v>
      </c>
    </row>
    <row r="42" x14ac:dyDescent="0.55000000000000004">
      <c r="A42" s="174" t="s">
        <v>497</v>
      </c>
    </row>
    <row r="43" x14ac:dyDescent="0.55000000000000004">
      <c r="A43" s="174" t="s">
        <v>498</v>
      </c>
    </row>
    <row r="44" x14ac:dyDescent="0.55000000000000004">
      <c r="A44" s="174" t="s">
        <v>499</v>
      </c>
    </row>
    <row r="45" x14ac:dyDescent="0.55000000000000004">
      <c r="A45" s="174" t="s">
        <v>500</v>
      </c>
    </row>
    <row r="46" x14ac:dyDescent="0.55000000000000004">
      <c r="A46" s="174" t="s">
        <v>501</v>
      </c>
    </row>
    <row r="47" x14ac:dyDescent="0.55000000000000004">
      <c r="A47" s="174" t="s">
        <v>502</v>
      </c>
    </row>
    <row r="49" x14ac:dyDescent="0.55000000000000004">
      <c r="A49" s="175" t="s">
        <v>109</v>
      </c>
    </row>
    <row r="50" x14ac:dyDescent="0.55000000000000004">
      <c r="A50" s="40" t="s">
        <v>519</v>
      </c>
    </row>
  </sheetData>
  <phoneticPr fontId="24" type="noConversion"/>
  <dataValidations count="1">
    <dataValidation type="list" allowBlank="1" showInputMessage="1" sqref="G22:G25 B3:F25" xr:uid="{00000000-0002-0000-0B00-000000000000}">
      <formula1>Permissions</formula1>
    </dataValidation>
  </dataValidations>
  <hyperlinks>
    <hyperlink ref="A1" location="'Cover Sheet'!A1" display="Security Permissions" xr:uid="{00000000-0004-0000-0B00-000000000000}"/>
  </hyperlinks>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1"/>
  </sheetPr>
  <dimension ref="A1:K169"/>
  <sheetViews>
    <sheetView topLeftCell="A139" zoomScale="85" zoomScaleNormal="85" workbookViewId="0">
      <selection activeCell="F167" sqref="F167"/>
    </sheetView>
  </sheetViews>
  <sheetFormatPr defaultColWidth="26.41796875" defaultRowHeight="14.4" x14ac:dyDescent="0.55000000000000004"/>
  <cols>
    <col min="1" max="1" width="4.41796875" style="64" customWidth="1"/>
    <col min="2" max="2" width="20.41796875" style="62" bestFit="1" customWidth="1"/>
    <col min="3" max="3" width="9.1015625" style="62" hidden="1" customWidth="1"/>
    <col min="4" max="4" width="21.1015625" style="62" hidden="1" customWidth="1"/>
    <col min="5" max="5" width="40.5234375" style="62" customWidth="1"/>
    <col min="6" max="6" width="33.41796875" style="62" customWidth="1"/>
    <col min="7" max="7" width="13.1015625" style="62" bestFit="1" customWidth="1"/>
    <col min="8" max="8" width="7.1015625" style="62" customWidth="1"/>
    <col min="9" max="9" width="6.89453125" style="62" customWidth="1"/>
    <col min="10" max="10" width="6.5234375" style="62" customWidth="1"/>
    <col min="11" max="11" width="91.5234375" style="62" customWidth="1"/>
    <col min="12" max="16384" width="26.41796875" style="62"/>
  </cols>
  <sheetData>
    <row r="1" spans="1:11" s="59" customFormat="1" ht="27" x14ac:dyDescent="0.55000000000000004">
      <c r="A1" s="66" t="s">
        <v>372</v>
      </c>
      <c r="B1" s="58"/>
      <c r="E1" s="28"/>
    </row>
    <row r="2" spans="1:11" s="59" customFormat="1" ht="23.1" x14ac:dyDescent="0.55000000000000004">
      <c r="A2" s="60" t="s">
        <v>50</v>
      </c>
      <c r="B2" s="61"/>
    </row>
    <row r="3" spans="1:11" s="59" customFormat="1" x14ac:dyDescent="0.55000000000000004">
      <c r="A3" s="65"/>
    </row>
    <row r="4" spans="1:11" ht="27" x14ac:dyDescent="0.55000000000000004">
      <c r="A4" s="66" t="s">
        <v>251</v>
      </c>
      <c r="B4" s="58"/>
      <c r="C4" s="59"/>
      <c r="D4" s="59"/>
      <c r="E4" s="28"/>
      <c r="F4" s="59"/>
      <c r="G4" s="59"/>
      <c r="H4" s="59"/>
      <c r="I4" s="59"/>
      <c r="J4" s="59"/>
      <c r="K4" s="59"/>
    </row>
    <row r="5" spans="1:11" ht="55.5" x14ac:dyDescent="0.55000000000000004">
      <c r="A5" s="9" t="s">
        <v>37</v>
      </c>
      <c r="B5" s="9" t="s">
        <v>43</v>
      </c>
      <c r="C5" s="9" t="s">
        <v>44</v>
      </c>
      <c r="D5" s="9" t="s">
        <v>45</v>
      </c>
      <c r="E5" s="9" t="s">
        <v>46</v>
      </c>
      <c r="F5" s="9" t="s">
        <v>19</v>
      </c>
      <c r="G5" s="9" t="s">
        <v>36</v>
      </c>
      <c r="H5" s="55" t="s">
        <v>48</v>
      </c>
      <c r="I5" s="55" t="s">
        <v>49</v>
      </c>
      <c r="J5" s="56" t="s">
        <v>101</v>
      </c>
      <c r="K5" s="9" t="s">
        <v>47</v>
      </c>
    </row>
    <row r="6" spans="1:11" x14ac:dyDescent="0.55000000000000004">
      <c r="A6" s="64">
        <v>1</v>
      </c>
      <c r="B6" s="13" t="s">
        <v>198</v>
      </c>
      <c r="C6" s="63"/>
      <c r="D6" s="13" t="s">
        <v>208</v>
      </c>
      <c r="E6" s="13" t="s">
        <v>208</v>
      </c>
      <c r="F6" s="13"/>
      <c r="G6" s="13" t="s">
        <v>169</v>
      </c>
      <c r="H6" s="64" t="s">
        <v>14</v>
      </c>
      <c r="I6" s="64" t="s">
        <v>15</v>
      </c>
      <c r="J6" s="64"/>
      <c r="K6" s="13" t="s">
        <v>389</v>
      </c>
    </row>
    <row r="7" spans="1:11" x14ac:dyDescent="0.55000000000000004">
      <c r="A7" s="64">
        <v>2</v>
      </c>
      <c r="B7" s="13" t="s">
        <v>198</v>
      </c>
      <c r="C7" s="63"/>
      <c r="D7" s="13" t="s">
        <v>209</v>
      </c>
      <c r="E7" s="13" t="s">
        <v>209</v>
      </c>
      <c r="F7" s="13"/>
      <c r="G7" s="13" t="s">
        <v>163</v>
      </c>
      <c r="H7" s="64" t="s">
        <v>15</v>
      </c>
      <c r="I7" s="64" t="s">
        <v>14</v>
      </c>
      <c r="J7" s="64"/>
      <c r="K7" s="93"/>
    </row>
    <row r="8" spans="1:11" x14ac:dyDescent="0.55000000000000004">
      <c r="A8" s="64">
        <v>3</v>
      </c>
      <c r="B8" s="13" t="s">
        <v>198</v>
      </c>
      <c r="C8" s="63"/>
      <c r="D8" s="13" t="s">
        <v>207</v>
      </c>
      <c r="E8" s="13" t="s">
        <v>207</v>
      </c>
      <c r="F8" s="13"/>
      <c r="G8" s="13" t="s">
        <v>51</v>
      </c>
      <c r="H8" s="64" t="s">
        <v>14</v>
      </c>
      <c r="I8" s="64" t="s">
        <v>15</v>
      </c>
      <c r="J8" s="64"/>
      <c r="K8" s="13"/>
    </row>
    <row r="9" spans="1:11" x14ac:dyDescent="0.55000000000000004">
      <c r="A9" s="64">
        <v>4</v>
      </c>
      <c r="B9" s="13" t="s">
        <v>198</v>
      </c>
      <c r="C9" s="63"/>
      <c r="D9" s="62" t="s">
        <v>180</v>
      </c>
      <c r="E9" s="62" t="s">
        <v>180</v>
      </c>
      <c r="G9" s="13" t="s">
        <v>108</v>
      </c>
      <c r="H9" s="64" t="s">
        <v>14</v>
      </c>
      <c r="I9" s="64" t="s">
        <v>15</v>
      </c>
      <c r="J9" s="64"/>
      <c r="K9" s="13"/>
    </row>
    <row r="10" spans="1:11" x14ac:dyDescent="0.55000000000000004">
      <c r="A10" s="64">
        <v>5</v>
      </c>
      <c r="B10" s="13" t="s">
        <v>198</v>
      </c>
      <c r="C10" s="63"/>
      <c r="D10" s="62" t="s">
        <v>181</v>
      </c>
      <c r="E10" s="62" t="s">
        <v>399</v>
      </c>
      <c r="G10" s="13" t="s">
        <v>108</v>
      </c>
      <c r="H10" s="64" t="s">
        <v>14</v>
      </c>
      <c r="I10" s="64" t="s">
        <v>15</v>
      </c>
      <c r="J10" s="64"/>
      <c r="K10" s="13"/>
    </row>
    <row r="11" spans="1:11" x14ac:dyDescent="0.55000000000000004">
      <c r="A11" s="64">
        <v>6</v>
      </c>
      <c r="B11" s="13" t="s">
        <v>198</v>
      </c>
      <c r="C11" s="63"/>
      <c r="D11" s="62" t="s">
        <v>182</v>
      </c>
      <c r="E11" s="62" t="s">
        <v>182</v>
      </c>
      <c r="G11" s="92" t="s">
        <v>108</v>
      </c>
      <c r="H11" s="64" t="s">
        <v>14</v>
      </c>
      <c r="I11" s="64" t="s">
        <v>15</v>
      </c>
      <c r="J11" s="64"/>
      <c r="K11" s="13"/>
    </row>
    <row r="12" spans="1:11" x14ac:dyDescent="0.55000000000000004">
      <c r="A12" s="64">
        <v>7</v>
      </c>
      <c r="B12" s="13" t="s">
        <v>198</v>
      </c>
      <c r="C12" s="95"/>
      <c r="D12" s="96" t="s">
        <v>219</v>
      </c>
      <c r="E12" s="96" t="s">
        <v>219</v>
      </c>
      <c r="F12" s="96"/>
      <c r="G12" s="97" t="s">
        <v>52</v>
      </c>
      <c r="H12" s="64" t="s">
        <v>14</v>
      </c>
      <c r="I12" s="94" t="s">
        <v>15</v>
      </c>
      <c r="J12" s="94"/>
      <c r="K12" s="13" t="s">
        <v>452</v>
      </c>
    </row>
    <row r="13" spans="1:11" x14ac:dyDescent="0.55000000000000004">
      <c r="A13" s="64">
        <v>8</v>
      </c>
      <c r="B13" s="13" t="s">
        <v>198</v>
      </c>
      <c r="C13" s="63"/>
      <c r="D13" s="62" t="s">
        <v>216</v>
      </c>
      <c r="E13" s="62" t="s">
        <v>216</v>
      </c>
      <c r="G13" s="13" t="s">
        <v>58</v>
      </c>
      <c r="H13" s="64" t="s">
        <v>14</v>
      </c>
      <c r="I13" s="64" t="s">
        <v>15</v>
      </c>
      <c r="J13" s="64"/>
      <c r="K13" s="13" t="s">
        <v>384</v>
      </c>
    </row>
    <row r="14" spans="1:11" x14ac:dyDescent="0.55000000000000004">
      <c r="A14" s="64">
        <v>9</v>
      </c>
      <c r="B14" s="13" t="s">
        <v>198</v>
      </c>
      <c r="C14" s="63"/>
      <c r="D14" s="62" t="s">
        <v>214</v>
      </c>
      <c r="E14" s="62" t="s">
        <v>214</v>
      </c>
      <c r="G14" s="92" t="s">
        <v>58</v>
      </c>
      <c r="H14" s="64" t="s">
        <v>15</v>
      </c>
      <c r="I14" s="64" t="s">
        <v>15</v>
      </c>
      <c r="J14" s="64"/>
      <c r="K14" s="13" t="s">
        <v>384</v>
      </c>
    </row>
    <row r="15" spans="1:11" x14ac:dyDescent="0.55000000000000004">
      <c r="A15" s="64">
        <v>10</v>
      </c>
      <c r="B15" s="13" t="s">
        <v>198</v>
      </c>
      <c r="C15" s="63"/>
      <c r="D15" s="62" t="s">
        <v>215</v>
      </c>
      <c r="E15" s="62" t="s">
        <v>215</v>
      </c>
      <c r="G15" s="13" t="s">
        <v>51</v>
      </c>
      <c r="H15" s="64" t="s">
        <v>15</v>
      </c>
      <c r="I15" s="64" t="s">
        <v>15</v>
      </c>
      <c r="J15" s="64"/>
      <c r="K15" s="13"/>
    </row>
    <row r="16" spans="1:11" x14ac:dyDescent="0.55000000000000004">
      <c r="A16" s="64">
        <v>11</v>
      </c>
      <c r="B16" s="13" t="s">
        <v>198</v>
      </c>
      <c r="C16" s="95"/>
      <c r="D16" s="96" t="s">
        <v>217</v>
      </c>
      <c r="E16" s="62" t="s">
        <v>178</v>
      </c>
      <c r="F16" s="96"/>
      <c r="G16" s="92" t="s">
        <v>169</v>
      </c>
      <c r="H16" s="64" t="s">
        <v>14</v>
      </c>
      <c r="I16" s="94" t="s">
        <v>15</v>
      </c>
      <c r="J16" s="94"/>
      <c r="K16" s="13" t="s">
        <v>388</v>
      </c>
    </row>
    <row r="17" spans="1:11" x14ac:dyDescent="0.55000000000000004">
      <c r="A17" s="64">
        <v>12</v>
      </c>
      <c r="B17" s="13" t="s">
        <v>198</v>
      </c>
      <c r="C17" s="95"/>
      <c r="D17" s="96" t="s">
        <v>218</v>
      </c>
      <c r="E17" s="96" t="s">
        <v>218</v>
      </c>
      <c r="F17" s="96"/>
      <c r="G17" s="97" t="s">
        <v>52</v>
      </c>
      <c r="H17" s="64" t="s">
        <v>14</v>
      </c>
      <c r="I17" s="94" t="s">
        <v>15</v>
      </c>
      <c r="J17" s="94"/>
      <c r="K17" s="93"/>
    </row>
    <row r="18" spans="1:11" x14ac:dyDescent="0.55000000000000004">
      <c r="A18" s="64">
        <v>13</v>
      </c>
      <c r="B18" s="13" t="s">
        <v>198</v>
      </c>
      <c r="C18" s="95"/>
      <c r="D18" s="96" t="s">
        <v>220</v>
      </c>
      <c r="E18" s="96" t="s">
        <v>220</v>
      </c>
      <c r="F18" s="96"/>
      <c r="G18" s="97" t="s">
        <v>169</v>
      </c>
      <c r="H18" s="64" t="s">
        <v>14</v>
      </c>
      <c r="I18" s="94" t="s">
        <v>14</v>
      </c>
      <c r="J18" s="94"/>
      <c r="K18" s="13" t="s">
        <v>390</v>
      </c>
    </row>
    <row r="19" spans="1:11" x14ac:dyDescent="0.55000000000000004">
      <c r="A19" s="64">
        <v>14</v>
      </c>
      <c r="B19" s="93" t="s">
        <v>199</v>
      </c>
      <c r="C19" s="95"/>
      <c r="D19" s="96" t="s">
        <v>47</v>
      </c>
      <c r="E19" s="62" t="s">
        <v>47</v>
      </c>
      <c r="F19" s="96"/>
      <c r="G19" s="97" t="s">
        <v>51</v>
      </c>
      <c r="H19" s="94" t="s">
        <v>15</v>
      </c>
      <c r="I19" s="94" t="s">
        <v>15</v>
      </c>
      <c r="J19" s="94"/>
      <c r="K19" s="93"/>
    </row>
    <row r="20" spans="1:11" ht="28.8" x14ac:dyDescent="0.55000000000000004">
      <c r="A20" s="64">
        <v>15</v>
      </c>
      <c r="B20" s="93" t="s">
        <v>200</v>
      </c>
      <c r="C20" s="95"/>
      <c r="D20" s="96" t="s">
        <v>225</v>
      </c>
      <c r="E20" s="98" t="s">
        <v>224</v>
      </c>
      <c r="F20" s="96"/>
      <c r="G20" s="99" t="s">
        <v>108</v>
      </c>
      <c r="H20" s="94" t="s">
        <v>15</v>
      </c>
      <c r="I20" s="94" t="s">
        <v>15</v>
      </c>
      <c r="J20" s="94"/>
      <c r="K20" s="93"/>
    </row>
    <row r="21" spans="1:11" x14ac:dyDescent="0.55000000000000004">
      <c r="A21" s="64">
        <v>16</v>
      </c>
      <c r="B21" s="93" t="s">
        <v>200</v>
      </c>
      <c r="C21" s="95"/>
      <c r="D21" s="96" t="s">
        <v>225</v>
      </c>
      <c r="E21" s="96" t="s">
        <v>225</v>
      </c>
      <c r="F21" s="96"/>
      <c r="G21" s="97" t="s">
        <v>51</v>
      </c>
      <c r="H21" s="94" t="s">
        <v>15</v>
      </c>
      <c r="I21" s="94" t="s">
        <v>15</v>
      </c>
      <c r="J21" s="94"/>
      <c r="K21" s="93"/>
    </row>
    <row r="22" spans="1:11" x14ac:dyDescent="0.55000000000000004">
      <c r="A22" s="64">
        <v>17</v>
      </c>
      <c r="B22" s="93" t="s">
        <v>201</v>
      </c>
      <c r="C22" s="95"/>
      <c r="D22" s="96" t="s">
        <v>227</v>
      </c>
      <c r="E22" s="96" t="s">
        <v>227</v>
      </c>
      <c r="F22" s="96"/>
      <c r="G22" s="97" t="s">
        <v>51</v>
      </c>
      <c r="H22" s="94" t="s">
        <v>15</v>
      </c>
      <c r="I22" s="94" t="s">
        <v>15</v>
      </c>
      <c r="J22" s="94"/>
      <c r="K22" s="93"/>
    </row>
    <row r="23" spans="1:11" x14ac:dyDescent="0.55000000000000004">
      <c r="A23" s="64">
        <v>18</v>
      </c>
      <c r="B23" s="93" t="s">
        <v>201</v>
      </c>
      <c r="C23" s="95"/>
      <c r="D23" s="96" t="s">
        <v>228</v>
      </c>
      <c r="E23" s="96" t="s">
        <v>228</v>
      </c>
      <c r="F23" s="96"/>
      <c r="G23" s="97" t="s">
        <v>108</v>
      </c>
      <c r="H23" s="94" t="s">
        <v>15</v>
      </c>
      <c r="I23" s="94" t="s">
        <v>15</v>
      </c>
      <c r="J23" s="94"/>
      <c r="K23" s="93"/>
    </row>
    <row r="24" spans="1:11" x14ac:dyDescent="0.55000000000000004">
      <c r="A24" s="64">
        <v>19</v>
      </c>
      <c r="B24" s="93" t="s">
        <v>201</v>
      </c>
      <c r="C24" s="95"/>
      <c r="D24" s="96" t="s">
        <v>229</v>
      </c>
      <c r="E24" s="96" t="s">
        <v>229</v>
      </c>
      <c r="F24" s="96"/>
      <c r="G24" s="97" t="s">
        <v>108</v>
      </c>
      <c r="H24" s="94" t="s">
        <v>15</v>
      </c>
      <c r="I24" s="94" t="s">
        <v>15</v>
      </c>
      <c r="J24" s="94"/>
      <c r="K24" s="93"/>
    </row>
    <row r="25" spans="1:11" x14ac:dyDescent="0.55000000000000004">
      <c r="A25" s="64">
        <v>20</v>
      </c>
      <c r="B25" s="93" t="s">
        <v>201</v>
      </c>
      <c r="C25" s="95"/>
      <c r="D25" s="96" t="s">
        <v>230</v>
      </c>
      <c r="E25" s="96" t="s">
        <v>230</v>
      </c>
      <c r="F25" s="96"/>
      <c r="G25" s="97" t="s">
        <v>108</v>
      </c>
      <c r="H25" s="94" t="s">
        <v>15</v>
      </c>
      <c r="I25" s="94" t="s">
        <v>15</v>
      </c>
      <c r="J25" s="94"/>
      <c r="K25" s="93"/>
    </row>
    <row r="26" spans="1:11" x14ac:dyDescent="0.55000000000000004">
      <c r="A26" s="64">
        <v>21</v>
      </c>
      <c r="B26" s="93" t="s">
        <v>201</v>
      </c>
      <c r="C26" s="95"/>
      <c r="D26" s="96" t="s">
        <v>231</v>
      </c>
      <c r="E26" s="96" t="s">
        <v>231</v>
      </c>
      <c r="F26" s="96"/>
      <c r="G26" s="97" t="s">
        <v>51</v>
      </c>
      <c r="H26" s="94" t="s">
        <v>15</v>
      </c>
      <c r="I26" s="94" t="s">
        <v>15</v>
      </c>
      <c r="J26" s="94"/>
      <c r="K26" s="93"/>
    </row>
    <row r="27" spans="1:11" x14ac:dyDescent="0.55000000000000004">
      <c r="A27" s="64">
        <v>22</v>
      </c>
      <c r="B27" s="93" t="s">
        <v>202</v>
      </c>
      <c r="C27" s="95"/>
      <c r="D27" s="96" t="s">
        <v>232</v>
      </c>
      <c r="E27" s="96" t="s">
        <v>232</v>
      </c>
      <c r="F27" s="96"/>
      <c r="G27" s="97" t="s">
        <v>108</v>
      </c>
      <c r="H27" s="94" t="s">
        <v>15</v>
      </c>
      <c r="I27" s="94" t="s">
        <v>15</v>
      </c>
      <c r="J27" s="94"/>
      <c r="K27" s="93"/>
    </row>
    <row r="28" spans="1:11" x14ac:dyDescent="0.55000000000000004">
      <c r="A28" s="64">
        <v>23</v>
      </c>
      <c r="B28" s="93" t="s">
        <v>202</v>
      </c>
      <c r="C28" s="95"/>
      <c r="D28" s="96" t="s">
        <v>233</v>
      </c>
      <c r="E28" s="96" t="s">
        <v>233</v>
      </c>
      <c r="F28" s="96"/>
      <c r="G28" s="97" t="s">
        <v>108</v>
      </c>
      <c r="H28" s="94" t="s">
        <v>15</v>
      </c>
      <c r="I28" s="94" t="s">
        <v>15</v>
      </c>
      <c r="J28" s="94"/>
      <c r="K28" s="93"/>
    </row>
    <row r="29" spans="1:11" x14ac:dyDescent="0.55000000000000004">
      <c r="A29" s="64">
        <v>24</v>
      </c>
      <c r="B29" s="93" t="s">
        <v>202</v>
      </c>
      <c r="C29" s="95"/>
      <c r="D29" s="96" t="s">
        <v>234</v>
      </c>
      <c r="E29" s="96" t="s">
        <v>234</v>
      </c>
      <c r="F29" s="96"/>
      <c r="G29" s="97" t="s">
        <v>108</v>
      </c>
      <c r="H29" s="94" t="s">
        <v>15</v>
      </c>
      <c r="I29" s="94" t="s">
        <v>15</v>
      </c>
      <c r="J29" s="94"/>
      <c r="K29" s="93"/>
    </row>
    <row r="30" spans="1:11" x14ac:dyDescent="0.55000000000000004">
      <c r="A30" s="64">
        <v>25</v>
      </c>
      <c r="B30" s="93" t="s">
        <v>202</v>
      </c>
      <c r="C30" s="95"/>
      <c r="D30" s="96" t="s">
        <v>236</v>
      </c>
      <c r="E30" s="96" t="s">
        <v>236</v>
      </c>
      <c r="F30" s="96"/>
      <c r="G30" s="97" t="s">
        <v>108</v>
      </c>
      <c r="H30" s="94" t="s">
        <v>15</v>
      </c>
      <c r="I30" s="94" t="s">
        <v>15</v>
      </c>
      <c r="J30" s="94"/>
      <c r="K30" s="93"/>
    </row>
    <row r="31" spans="1:11" x14ac:dyDescent="0.55000000000000004">
      <c r="A31" s="64">
        <v>26</v>
      </c>
      <c r="B31" s="93" t="s">
        <v>202</v>
      </c>
      <c r="C31" s="95"/>
      <c r="D31" s="96" t="s">
        <v>235</v>
      </c>
      <c r="E31" s="96" t="s">
        <v>235</v>
      </c>
      <c r="F31" s="96"/>
      <c r="G31" s="97" t="s">
        <v>108</v>
      </c>
      <c r="H31" s="94" t="s">
        <v>15</v>
      </c>
      <c r="I31" s="94" t="s">
        <v>15</v>
      </c>
      <c r="J31" s="94"/>
      <c r="K31" s="93"/>
    </row>
    <row r="32" spans="1:11" x14ac:dyDescent="0.55000000000000004">
      <c r="A32" s="64">
        <v>27</v>
      </c>
      <c r="B32" s="93" t="s">
        <v>202</v>
      </c>
      <c r="C32" s="95"/>
      <c r="D32" s="96" t="s">
        <v>237</v>
      </c>
      <c r="E32" s="96" t="s">
        <v>237</v>
      </c>
      <c r="F32" s="96"/>
      <c r="G32" s="97" t="s">
        <v>108</v>
      </c>
      <c r="H32" s="94" t="s">
        <v>15</v>
      </c>
      <c r="I32" s="94" t="s">
        <v>15</v>
      </c>
      <c r="J32" s="94"/>
      <c r="K32" s="93"/>
    </row>
    <row r="33" spans="1:11" x14ac:dyDescent="0.55000000000000004">
      <c r="A33" s="64">
        <v>28</v>
      </c>
      <c r="B33" s="93" t="s">
        <v>202</v>
      </c>
      <c r="C33" s="95"/>
      <c r="D33" s="96" t="s">
        <v>238</v>
      </c>
      <c r="E33" s="96" t="s">
        <v>238</v>
      </c>
      <c r="F33" s="96"/>
      <c r="G33" s="97" t="s">
        <v>51</v>
      </c>
      <c r="H33" s="94" t="s">
        <v>15</v>
      </c>
      <c r="I33" s="94" t="s">
        <v>15</v>
      </c>
      <c r="J33" s="94"/>
      <c r="K33" s="93"/>
    </row>
    <row r="34" spans="1:11" x14ac:dyDescent="0.55000000000000004">
      <c r="A34" s="64">
        <v>29</v>
      </c>
      <c r="B34" s="93" t="s">
        <v>242</v>
      </c>
      <c r="C34" s="95"/>
      <c r="D34" s="96" t="s">
        <v>239</v>
      </c>
      <c r="E34" s="96" t="s">
        <v>239</v>
      </c>
      <c r="F34" s="96"/>
      <c r="G34" s="97" t="s">
        <v>108</v>
      </c>
      <c r="H34" s="94" t="s">
        <v>15</v>
      </c>
      <c r="I34" s="94" t="s">
        <v>15</v>
      </c>
      <c r="J34" s="94"/>
      <c r="K34" s="93"/>
    </row>
    <row r="35" spans="1:11" x14ac:dyDescent="0.55000000000000004">
      <c r="A35" s="64">
        <v>30</v>
      </c>
      <c r="B35" s="93" t="s">
        <v>242</v>
      </c>
      <c r="C35" s="95"/>
      <c r="D35" s="96" t="s">
        <v>240</v>
      </c>
      <c r="E35" s="96" t="s">
        <v>240</v>
      </c>
      <c r="F35" s="96"/>
      <c r="G35" s="97" t="s">
        <v>108</v>
      </c>
      <c r="H35" s="94" t="s">
        <v>15</v>
      </c>
      <c r="I35" s="94" t="s">
        <v>15</v>
      </c>
      <c r="J35" s="94"/>
      <c r="K35" s="93"/>
    </row>
    <row r="36" spans="1:11" x14ac:dyDescent="0.55000000000000004">
      <c r="A36" s="64">
        <v>31</v>
      </c>
      <c r="B36" s="93" t="s">
        <v>242</v>
      </c>
      <c r="C36" s="95"/>
      <c r="D36" s="96" t="s">
        <v>241</v>
      </c>
      <c r="E36" s="96" t="s">
        <v>241</v>
      </c>
      <c r="F36" s="96"/>
      <c r="G36" s="97" t="s">
        <v>51</v>
      </c>
      <c r="H36" s="94" t="s">
        <v>15</v>
      </c>
      <c r="I36" s="94" t="s">
        <v>15</v>
      </c>
      <c r="J36" s="94"/>
      <c r="K36" s="93"/>
    </row>
    <row r="37" spans="1:11" ht="43.2" x14ac:dyDescent="0.55000000000000004">
      <c r="A37" s="64">
        <v>32</v>
      </c>
      <c r="B37" s="93" t="s">
        <v>247</v>
      </c>
      <c r="C37" s="95"/>
      <c r="D37" s="98" t="s">
        <v>243</v>
      </c>
      <c r="E37" s="98" t="s">
        <v>243</v>
      </c>
      <c r="F37" s="96"/>
      <c r="G37" s="97" t="s">
        <v>108</v>
      </c>
      <c r="H37" s="94" t="s">
        <v>15</v>
      </c>
      <c r="I37" s="94" t="s">
        <v>15</v>
      </c>
      <c r="J37" s="94"/>
      <c r="K37" s="93"/>
    </row>
    <row r="38" spans="1:11" x14ac:dyDescent="0.55000000000000004">
      <c r="A38" s="64">
        <v>33</v>
      </c>
      <c r="B38" s="93" t="s">
        <v>247</v>
      </c>
      <c r="C38" s="95"/>
      <c r="D38" s="96"/>
      <c r="E38" s="62" t="s">
        <v>230</v>
      </c>
      <c r="F38" s="96"/>
      <c r="G38" s="99" t="s">
        <v>108</v>
      </c>
      <c r="H38" s="64" t="s">
        <v>15</v>
      </c>
      <c r="I38" s="64" t="s">
        <v>15</v>
      </c>
      <c r="J38" s="94"/>
      <c r="K38" s="93"/>
    </row>
    <row r="39" spans="1:11" x14ac:dyDescent="0.55000000000000004">
      <c r="A39" s="64">
        <v>34</v>
      </c>
      <c r="B39" s="93" t="s">
        <v>247</v>
      </c>
      <c r="C39" s="95"/>
      <c r="D39" s="96" t="s">
        <v>244</v>
      </c>
      <c r="E39" s="62" t="s">
        <v>462</v>
      </c>
      <c r="F39" s="96"/>
      <c r="G39" s="97" t="s">
        <v>108</v>
      </c>
      <c r="H39" s="94" t="s">
        <v>15</v>
      </c>
      <c r="I39" s="94" t="s">
        <v>15</v>
      </c>
      <c r="J39" s="94"/>
      <c r="K39" s="93"/>
    </row>
    <row r="40" spans="1:11" x14ac:dyDescent="0.55000000000000004">
      <c r="A40" s="64">
        <v>35</v>
      </c>
      <c r="B40" s="93" t="s">
        <v>247</v>
      </c>
      <c r="C40" s="95"/>
      <c r="D40" s="96" t="s">
        <v>245</v>
      </c>
      <c r="E40" s="96" t="s">
        <v>245</v>
      </c>
      <c r="F40" s="96"/>
      <c r="G40" s="97" t="s">
        <v>51</v>
      </c>
      <c r="H40" s="94" t="s">
        <v>15</v>
      </c>
      <c r="I40" s="94" t="s">
        <v>15</v>
      </c>
      <c r="J40" s="94"/>
      <c r="K40" s="93"/>
    </row>
    <row r="41" spans="1:11" x14ac:dyDescent="0.55000000000000004">
      <c r="A41" s="64">
        <v>36</v>
      </c>
      <c r="B41" s="93" t="s">
        <v>247</v>
      </c>
      <c r="C41" s="95"/>
      <c r="D41" s="96" t="s">
        <v>246</v>
      </c>
      <c r="E41" s="96" t="s">
        <v>246</v>
      </c>
      <c r="F41" s="96"/>
      <c r="G41" s="97" t="s">
        <v>51</v>
      </c>
      <c r="H41" s="94" t="s">
        <v>15</v>
      </c>
      <c r="I41" s="94" t="s">
        <v>15</v>
      </c>
      <c r="J41" s="94"/>
      <c r="K41" s="93"/>
    </row>
    <row r="42" spans="1:11" ht="86.4" x14ac:dyDescent="0.55000000000000004">
      <c r="A42" s="64">
        <v>37</v>
      </c>
      <c r="B42" s="100" t="s">
        <v>248</v>
      </c>
      <c r="C42" s="95"/>
      <c r="D42" s="96" t="s">
        <v>222</v>
      </c>
      <c r="E42" s="161" t="s">
        <v>457</v>
      </c>
      <c r="F42" s="161" t="s">
        <v>460</v>
      </c>
      <c r="G42" s="97" t="s">
        <v>169</v>
      </c>
      <c r="H42" s="64" t="s">
        <v>15</v>
      </c>
      <c r="I42" s="64" t="s">
        <v>15</v>
      </c>
      <c r="J42" s="94"/>
      <c r="K42" s="13" t="s">
        <v>391</v>
      </c>
    </row>
    <row r="43" spans="1:11" ht="86.4" x14ac:dyDescent="0.55000000000000004">
      <c r="A43" s="64">
        <v>38</v>
      </c>
      <c r="B43" s="100" t="s">
        <v>248</v>
      </c>
      <c r="C43" s="95"/>
      <c r="D43" s="96"/>
      <c r="E43" s="161" t="s">
        <v>456</v>
      </c>
      <c r="F43" s="161" t="s">
        <v>461</v>
      </c>
      <c r="G43" s="97"/>
      <c r="H43" s="64" t="s">
        <v>15</v>
      </c>
      <c r="I43" s="64" t="s">
        <v>14</v>
      </c>
      <c r="J43" s="94"/>
      <c r="K43" s="13" t="s">
        <v>391</v>
      </c>
    </row>
    <row r="44" spans="1:11" ht="115.2" x14ac:dyDescent="0.55000000000000004">
      <c r="A44" s="64">
        <v>39</v>
      </c>
      <c r="B44" s="100" t="s">
        <v>248</v>
      </c>
      <c r="C44" s="95"/>
      <c r="D44" s="96" t="s">
        <v>223</v>
      </c>
      <c r="E44" s="96" t="s">
        <v>223</v>
      </c>
      <c r="F44" s="100" t="s">
        <v>458</v>
      </c>
      <c r="G44" s="97" t="s">
        <v>169</v>
      </c>
      <c r="H44" s="64" t="s">
        <v>15</v>
      </c>
      <c r="I44" s="64" t="s">
        <v>15</v>
      </c>
      <c r="J44" s="94"/>
      <c r="K44" s="13" t="s">
        <v>392</v>
      </c>
    </row>
    <row r="45" spans="1:11" ht="100.8" x14ac:dyDescent="0.55000000000000004">
      <c r="A45" s="64">
        <v>40</v>
      </c>
      <c r="B45" s="57" t="s">
        <v>249</v>
      </c>
      <c r="C45" s="95"/>
      <c r="D45" s="96" t="s">
        <v>226</v>
      </c>
      <c r="E45" s="96" t="s">
        <v>226</v>
      </c>
      <c r="F45" s="100" t="s">
        <v>459</v>
      </c>
      <c r="G45" s="97" t="s">
        <v>169</v>
      </c>
      <c r="H45" s="64" t="s">
        <v>15</v>
      </c>
      <c r="I45" s="64" t="s">
        <v>15</v>
      </c>
      <c r="J45" s="94"/>
      <c r="K45" s="13" t="s">
        <v>393</v>
      </c>
    </row>
    <row r="46" spans="1:11" x14ac:dyDescent="0.55000000000000004">
      <c r="A46" s="64">
        <v>41</v>
      </c>
      <c r="B46" s="13" t="s">
        <v>386</v>
      </c>
      <c r="C46" s="95"/>
      <c r="D46" s="96" t="s">
        <v>221</v>
      </c>
      <c r="E46" s="96" t="s">
        <v>221</v>
      </c>
      <c r="F46" s="96"/>
      <c r="G46" s="97" t="s">
        <v>169</v>
      </c>
      <c r="H46" s="64" t="s">
        <v>15</v>
      </c>
      <c r="I46" s="64" t="s">
        <v>15</v>
      </c>
      <c r="J46" s="94"/>
      <c r="K46" s="13" t="s">
        <v>394</v>
      </c>
    </row>
    <row r="47" spans="1:11" x14ac:dyDescent="0.55000000000000004">
      <c r="A47" s="64">
        <v>42</v>
      </c>
      <c r="B47" s="93"/>
      <c r="C47" s="95"/>
      <c r="D47" s="96"/>
      <c r="E47" s="62" t="s">
        <v>453</v>
      </c>
      <c r="F47" s="96"/>
      <c r="G47" s="97"/>
      <c r="H47" s="64"/>
      <c r="I47" s="94"/>
      <c r="J47" s="94"/>
      <c r="K47" s="93"/>
    </row>
    <row r="48" spans="1:11" x14ac:dyDescent="0.55000000000000004">
      <c r="A48" s="64">
        <v>43</v>
      </c>
      <c r="B48" s="93"/>
      <c r="C48" s="95"/>
      <c r="D48" s="96"/>
      <c r="E48" s="62" t="s">
        <v>454</v>
      </c>
      <c r="F48" s="96"/>
      <c r="G48" s="97"/>
      <c r="H48" s="64"/>
      <c r="I48" s="94"/>
      <c r="J48" s="94"/>
      <c r="K48" s="93"/>
    </row>
    <row r="49" spans="1:11" x14ac:dyDescent="0.55000000000000004">
      <c r="A49" s="64">
        <v>44</v>
      </c>
      <c r="B49" s="93"/>
      <c r="C49" s="95"/>
      <c r="D49" s="96"/>
      <c r="E49" s="62" t="s">
        <v>376</v>
      </c>
      <c r="F49" s="62" t="s">
        <v>455</v>
      </c>
      <c r="G49" s="99" t="s">
        <v>51</v>
      </c>
      <c r="H49" s="64"/>
      <c r="I49" s="94"/>
      <c r="J49" s="94"/>
      <c r="K49" s="93"/>
    </row>
    <row r="50" spans="1:11" x14ac:dyDescent="0.55000000000000004">
      <c r="A50" s="64">
        <v>45</v>
      </c>
      <c r="B50" s="13"/>
      <c r="C50" s="63"/>
      <c r="E50" s="62" t="s">
        <v>377</v>
      </c>
      <c r="F50" s="62" t="s">
        <v>455</v>
      </c>
      <c r="G50" s="99" t="s">
        <v>51</v>
      </c>
      <c r="H50" s="64"/>
      <c r="I50" s="64"/>
      <c r="J50" s="64"/>
      <c r="K50" s="13"/>
    </row>
    <row r="51" spans="1:11" x14ac:dyDescent="0.55000000000000004">
      <c r="A51" s="64">
        <v>46</v>
      </c>
      <c r="B51" s="13"/>
      <c r="C51" s="63"/>
      <c r="E51" s="62" t="s">
        <v>385</v>
      </c>
      <c r="F51" s="62" t="s">
        <v>455</v>
      </c>
      <c r="G51" s="99" t="s">
        <v>51</v>
      </c>
      <c r="H51" s="64"/>
      <c r="I51" s="64"/>
      <c r="J51" s="64"/>
      <c r="K51" s="13"/>
    </row>
    <row r="52" spans="1:11" x14ac:dyDescent="0.55000000000000004">
      <c r="A52" s="64">
        <v>47</v>
      </c>
      <c r="B52" s="13"/>
      <c r="C52" s="63"/>
      <c r="E52" s="62" t="s">
        <v>378</v>
      </c>
      <c r="F52" s="62" t="s">
        <v>455</v>
      </c>
      <c r="G52" s="99" t="s">
        <v>108</v>
      </c>
      <c r="H52" s="64"/>
      <c r="I52" s="64"/>
      <c r="J52" s="64"/>
      <c r="K52" s="13"/>
    </row>
    <row r="53" spans="1:11" x14ac:dyDescent="0.55000000000000004">
      <c r="A53" s="64">
        <v>48</v>
      </c>
      <c r="B53" s="13"/>
      <c r="C53" s="63"/>
      <c r="E53" s="62" t="s">
        <v>379</v>
      </c>
      <c r="F53" s="62" t="s">
        <v>455</v>
      </c>
      <c r="G53" s="99" t="s">
        <v>51</v>
      </c>
      <c r="H53" s="64"/>
      <c r="I53" s="64"/>
      <c r="J53" s="64"/>
      <c r="K53" s="13"/>
    </row>
    <row r="54" spans="1:11" x14ac:dyDescent="0.55000000000000004">
      <c r="A54" s="64">
        <v>49</v>
      </c>
      <c r="B54" s="13"/>
      <c r="C54" s="63"/>
      <c r="E54" s="62" t="s">
        <v>367</v>
      </c>
      <c r="F54" s="62" t="s">
        <v>455</v>
      </c>
      <c r="G54" s="99" t="s">
        <v>169</v>
      </c>
      <c r="H54" s="64"/>
      <c r="I54" s="64"/>
      <c r="J54" s="64"/>
      <c r="K54" s="13"/>
    </row>
    <row r="55" spans="1:11" x14ac:dyDescent="0.55000000000000004">
      <c r="A55" s="64">
        <v>50</v>
      </c>
      <c r="B55" s="13"/>
      <c r="C55" s="63"/>
      <c r="E55" s="62" t="s">
        <v>380</v>
      </c>
      <c r="F55" s="62" t="s">
        <v>455</v>
      </c>
      <c r="G55" s="99" t="s">
        <v>108</v>
      </c>
      <c r="H55" s="64"/>
      <c r="I55" s="64"/>
      <c r="J55" s="64"/>
      <c r="K55" s="13"/>
    </row>
    <row r="56" spans="1:11" x14ac:dyDescent="0.55000000000000004">
      <c r="A56" s="64">
        <v>51</v>
      </c>
      <c r="B56" s="13"/>
      <c r="C56" s="63"/>
      <c r="E56" s="62" t="s">
        <v>381</v>
      </c>
      <c r="F56" s="62" t="s">
        <v>455</v>
      </c>
      <c r="G56" s="99" t="s">
        <v>52</v>
      </c>
      <c r="H56" s="64"/>
      <c r="I56" s="64"/>
      <c r="J56" s="64"/>
      <c r="K56" s="13"/>
    </row>
    <row r="57" spans="1:11" x14ac:dyDescent="0.55000000000000004">
      <c r="A57" s="64">
        <v>52</v>
      </c>
      <c r="B57" s="13"/>
      <c r="C57" s="63"/>
      <c r="E57" s="62" t="s">
        <v>335</v>
      </c>
      <c r="F57" s="62" t="s">
        <v>455</v>
      </c>
      <c r="G57" s="99" t="s">
        <v>169</v>
      </c>
      <c r="H57" s="64"/>
      <c r="I57" s="64"/>
      <c r="J57" s="64"/>
      <c r="K57" s="13" t="s">
        <v>395</v>
      </c>
    </row>
    <row r="58" spans="1:11" x14ac:dyDescent="0.55000000000000004">
      <c r="B58" s="13"/>
      <c r="C58" s="63"/>
      <c r="G58" s="99"/>
      <c r="H58" s="64"/>
      <c r="I58" s="64"/>
      <c r="J58" s="64"/>
      <c r="K58" s="13"/>
    </row>
    <row r="59" spans="1:11" ht="27" x14ac:dyDescent="0.55000000000000004">
      <c r="A59" s="66" t="s">
        <v>250</v>
      </c>
      <c r="B59" s="151"/>
      <c r="C59" s="152"/>
      <c r="D59" s="153"/>
      <c r="E59" s="153"/>
      <c r="F59" s="153"/>
      <c r="G59" s="154"/>
      <c r="H59" s="65"/>
      <c r="I59" s="155"/>
      <c r="J59" s="155"/>
      <c r="K59" s="151"/>
    </row>
    <row r="60" spans="1:11" ht="55.5" x14ac:dyDescent="0.55000000000000004">
      <c r="A60" s="9" t="s">
        <v>37</v>
      </c>
      <c r="B60" s="9" t="s">
        <v>43</v>
      </c>
      <c r="C60" s="9" t="s">
        <v>44</v>
      </c>
      <c r="D60" s="9" t="s">
        <v>45</v>
      </c>
      <c r="E60" s="9" t="s">
        <v>46</v>
      </c>
      <c r="F60" s="9" t="s">
        <v>19</v>
      </c>
      <c r="G60" s="9" t="s">
        <v>36</v>
      </c>
      <c r="H60" s="55" t="s">
        <v>48</v>
      </c>
      <c r="I60" s="55" t="s">
        <v>49</v>
      </c>
      <c r="J60" s="56" t="s">
        <v>101</v>
      </c>
      <c r="K60" s="9" t="s">
        <v>47</v>
      </c>
    </row>
    <row r="61" spans="1:11" x14ac:dyDescent="0.55000000000000004">
      <c r="A61" s="64">
        <v>1</v>
      </c>
      <c r="B61" s="13"/>
      <c r="C61" s="63"/>
      <c r="D61" s="13" t="s">
        <v>185</v>
      </c>
      <c r="E61" s="13" t="s">
        <v>185</v>
      </c>
      <c r="F61" s="13"/>
      <c r="G61" s="13" t="s">
        <v>169</v>
      </c>
      <c r="H61" s="64" t="s">
        <v>14</v>
      </c>
      <c r="I61" s="64" t="s">
        <v>14</v>
      </c>
      <c r="J61" s="64"/>
      <c r="K61" s="13" t="s">
        <v>389</v>
      </c>
    </row>
    <row r="62" spans="1:11" x14ac:dyDescent="0.55000000000000004">
      <c r="A62" s="64">
        <v>2</v>
      </c>
      <c r="B62" s="13"/>
      <c r="C62" s="63"/>
      <c r="D62" s="13" t="s">
        <v>251</v>
      </c>
      <c r="E62" s="13" t="s">
        <v>251</v>
      </c>
      <c r="F62" s="13"/>
      <c r="G62" s="13" t="s">
        <v>169</v>
      </c>
      <c r="H62" s="64" t="s">
        <v>14</v>
      </c>
      <c r="I62" s="64" t="s">
        <v>14</v>
      </c>
      <c r="J62" s="64"/>
      <c r="K62" s="13" t="s">
        <v>396</v>
      </c>
    </row>
    <row r="63" spans="1:11" x14ac:dyDescent="0.55000000000000004">
      <c r="A63" s="64">
        <v>3</v>
      </c>
      <c r="B63" s="13"/>
      <c r="C63" s="63"/>
      <c r="E63" s="62" t="s">
        <v>43</v>
      </c>
      <c r="G63" s="13" t="s">
        <v>169</v>
      </c>
      <c r="H63" s="64" t="s">
        <v>15</v>
      </c>
      <c r="I63" s="64" t="s">
        <v>15</v>
      </c>
      <c r="J63" s="64"/>
      <c r="K63" s="13" t="s">
        <v>406</v>
      </c>
    </row>
    <row r="64" spans="1:11" x14ac:dyDescent="0.55000000000000004">
      <c r="A64" s="64">
        <v>4</v>
      </c>
      <c r="B64" s="13"/>
      <c r="C64" s="63"/>
      <c r="D64" s="13" t="s">
        <v>177</v>
      </c>
      <c r="E64" s="13" t="s">
        <v>177</v>
      </c>
      <c r="F64" s="13"/>
      <c r="G64" s="13" t="s">
        <v>51</v>
      </c>
      <c r="H64" s="64" t="s">
        <v>14</v>
      </c>
      <c r="I64" s="64" t="s">
        <v>15</v>
      </c>
      <c r="J64" s="64"/>
      <c r="K64" s="13"/>
    </row>
    <row r="65" spans="1:11" x14ac:dyDescent="0.55000000000000004">
      <c r="A65" s="64">
        <v>5</v>
      </c>
      <c r="B65" s="13"/>
      <c r="C65" s="63"/>
      <c r="D65" s="62" t="s">
        <v>178</v>
      </c>
      <c r="E65" s="62" t="s">
        <v>178</v>
      </c>
      <c r="G65" s="13" t="s">
        <v>51</v>
      </c>
      <c r="H65" s="64" t="s">
        <v>14</v>
      </c>
      <c r="I65" s="64" t="s">
        <v>15</v>
      </c>
      <c r="J65" s="64"/>
      <c r="K65" s="13"/>
    </row>
    <row r="66" spans="1:11" x14ac:dyDescent="0.55000000000000004">
      <c r="A66" s="64">
        <v>6</v>
      </c>
      <c r="B66" s="13"/>
      <c r="C66" s="63"/>
      <c r="D66" s="62" t="s">
        <v>183</v>
      </c>
      <c r="E66" s="62" t="s">
        <v>183</v>
      </c>
      <c r="G66" s="13" t="s">
        <v>106</v>
      </c>
      <c r="H66" s="64" t="s">
        <v>14</v>
      </c>
      <c r="I66" s="64" t="s">
        <v>15</v>
      </c>
      <c r="J66" s="64"/>
      <c r="K66" s="13"/>
    </row>
    <row r="67" spans="1:11" x14ac:dyDescent="0.55000000000000004">
      <c r="A67" s="64">
        <v>7</v>
      </c>
      <c r="B67" s="13"/>
      <c r="C67" s="63"/>
      <c r="D67" s="62" t="s">
        <v>108</v>
      </c>
      <c r="E67" s="62" t="s">
        <v>108</v>
      </c>
      <c r="G67" s="13" t="s">
        <v>108</v>
      </c>
      <c r="H67" s="64" t="s">
        <v>15</v>
      </c>
      <c r="I67" s="64" t="s">
        <v>15</v>
      </c>
      <c r="J67" s="64"/>
      <c r="K67" s="13"/>
    </row>
    <row r="68" spans="1:11" x14ac:dyDescent="0.55000000000000004">
      <c r="A68" s="64">
        <v>8</v>
      </c>
      <c r="B68" s="13"/>
      <c r="C68" s="63"/>
      <c r="D68" s="62" t="s">
        <v>4</v>
      </c>
      <c r="E68" s="62" t="s">
        <v>4</v>
      </c>
      <c r="G68" s="13" t="s">
        <v>51</v>
      </c>
      <c r="H68" s="64" t="s">
        <v>15</v>
      </c>
      <c r="I68" s="64" t="s">
        <v>15</v>
      </c>
      <c r="J68" s="64"/>
      <c r="K68" s="13"/>
    </row>
    <row r="69" spans="1:11" x14ac:dyDescent="0.55000000000000004">
      <c r="A69" s="94">
        <v>9</v>
      </c>
      <c r="B69" s="13"/>
      <c r="C69" s="95"/>
      <c r="D69" s="96"/>
      <c r="E69" s="96" t="s">
        <v>453</v>
      </c>
      <c r="F69" s="96"/>
      <c r="G69" s="162"/>
      <c r="H69" s="64"/>
      <c r="I69" s="94"/>
      <c r="J69" s="94"/>
      <c r="K69" s="93"/>
    </row>
    <row r="70" spans="1:11" x14ac:dyDescent="0.55000000000000004">
      <c r="A70" s="64">
        <v>10</v>
      </c>
      <c r="B70" s="93"/>
      <c r="C70" s="63"/>
      <c r="D70" s="62" t="s">
        <v>217</v>
      </c>
      <c r="E70" s="62" t="s">
        <v>180</v>
      </c>
      <c r="F70" s="62" t="s">
        <v>455</v>
      </c>
      <c r="G70" s="13" t="s">
        <v>108</v>
      </c>
      <c r="H70" s="64"/>
      <c r="I70" s="64"/>
      <c r="J70" s="64"/>
      <c r="K70" s="13"/>
    </row>
    <row r="71" spans="1:11" x14ac:dyDescent="0.55000000000000004">
      <c r="A71" s="64">
        <v>11</v>
      </c>
      <c r="B71" s="93"/>
      <c r="C71" s="63"/>
      <c r="E71" s="62" t="s">
        <v>397</v>
      </c>
      <c r="F71" s="62" t="s">
        <v>455</v>
      </c>
      <c r="G71" s="13" t="s">
        <v>106</v>
      </c>
      <c r="H71" s="64"/>
      <c r="I71" s="64"/>
      <c r="J71" s="64"/>
      <c r="K71" s="13" t="s">
        <v>403</v>
      </c>
    </row>
    <row r="72" spans="1:11" x14ac:dyDescent="0.55000000000000004">
      <c r="A72" s="64">
        <v>12</v>
      </c>
      <c r="B72" s="93"/>
      <c r="C72" s="63"/>
      <c r="E72" s="62" t="s">
        <v>398</v>
      </c>
      <c r="F72" s="62" t="s">
        <v>455</v>
      </c>
      <c r="G72" s="13" t="s">
        <v>106</v>
      </c>
      <c r="H72" s="64"/>
      <c r="I72" s="64"/>
      <c r="J72" s="64"/>
      <c r="K72" s="13" t="s">
        <v>404</v>
      </c>
    </row>
    <row r="73" spans="1:11" x14ac:dyDescent="0.55000000000000004">
      <c r="A73" s="64">
        <v>13</v>
      </c>
      <c r="B73" s="93"/>
      <c r="C73" s="63"/>
      <c r="E73" s="62" t="s">
        <v>399</v>
      </c>
      <c r="F73" s="62" t="s">
        <v>455</v>
      </c>
      <c r="G73" s="13" t="s">
        <v>108</v>
      </c>
      <c r="H73" s="64"/>
      <c r="I73" s="64"/>
      <c r="J73" s="64"/>
      <c r="K73" s="13"/>
    </row>
    <row r="74" spans="1:11" x14ac:dyDescent="0.55000000000000004">
      <c r="A74" s="64">
        <v>14</v>
      </c>
      <c r="B74" s="93"/>
      <c r="C74" s="63"/>
      <c r="E74" s="62" t="s">
        <v>400</v>
      </c>
      <c r="F74" s="62" t="s">
        <v>455</v>
      </c>
      <c r="G74" s="13" t="s">
        <v>169</v>
      </c>
      <c r="H74" s="64"/>
      <c r="I74" s="64"/>
      <c r="J74" s="64"/>
      <c r="K74" s="13" t="s">
        <v>405</v>
      </c>
    </row>
    <row r="75" spans="1:11" x14ac:dyDescent="0.55000000000000004">
      <c r="A75" s="64">
        <v>15</v>
      </c>
      <c r="B75" s="93"/>
      <c r="C75" s="63"/>
      <c r="E75" s="62" t="s">
        <v>223</v>
      </c>
      <c r="F75" s="62" t="s">
        <v>455</v>
      </c>
      <c r="G75" s="13" t="s">
        <v>169</v>
      </c>
      <c r="H75" s="64"/>
      <c r="I75" s="64"/>
      <c r="J75" s="64"/>
      <c r="K75" s="13" t="s">
        <v>392</v>
      </c>
    </row>
    <row r="76" spans="1:11" x14ac:dyDescent="0.55000000000000004">
      <c r="A76" s="64">
        <v>16</v>
      </c>
      <c r="B76" s="93"/>
      <c r="C76" s="63"/>
      <c r="E76" s="62" t="s">
        <v>182</v>
      </c>
      <c r="F76" s="62" t="s">
        <v>455</v>
      </c>
      <c r="G76" s="13" t="s">
        <v>108</v>
      </c>
      <c r="H76" s="64"/>
      <c r="I76" s="64"/>
      <c r="J76" s="64"/>
      <c r="K76" s="13"/>
    </row>
    <row r="77" spans="1:11" x14ac:dyDescent="0.55000000000000004">
      <c r="A77" s="64">
        <v>17</v>
      </c>
      <c r="B77" s="93"/>
      <c r="C77" s="63"/>
      <c r="E77" s="62" t="s">
        <v>401</v>
      </c>
      <c r="F77" s="62" t="s">
        <v>455</v>
      </c>
      <c r="G77" s="13" t="s">
        <v>108</v>
      </c>
      <c r="H77" s="64"/>
      <c r="I77" s="64"/>
      <c r="J77" s="64"/>
      <c r="K77" s="13"/>
    </row>
    <row r="78" spans="1:11" x14ac:dyDescent="0.55000000000000004">
      <c r="A78" s="64">
        <v>18</v>
      </c>
      <c r="B78" s="93"/>
      <c r="C78" s="63"/>
      <c r="E78" s="62" t="s">
        <v>402</v>
      </c>
      <c r="F78" s="62" t="s">
        <v>455</v>
      </c>
      <c r="G78" s="13" t="s">
        <v>108</v>
      </c>
      <c r="H78" s="64"/>
      <c r="I78" s="64"/>
      <c r="J78" s="64"/>
      <c r="K78" s="13"/>
    </row>
    <row r="80" spans="1:11" ht="27" x14ac:dyDescent="0.55000000000000004">
      <c r="A80" s="66" t="s">
        <v>252</v>
      </c>
      <c r="B80" s="58"/>
      <c r="C80" s="59"/>
      <c r="D80" s="59"/>
      <c r="E80" s="28"/>
      <c r="F80" s="59"/>
      <c r="G80" s="59"/>
      <c r="H80" s="59"/>
      <c r="I80" s="59"/>
      <c r="J80" s="59"/>
      <c r="K80" s="59"/>
    </row>
    <row r="81" spans="1:11" ht="55.5" x14ac:dyDescent="0.55000000000000004">
      <c r="A81" s="9" t="s">
        <v>37</v>
      </c>
      <c r="B81" s="9" t="s">
        <v>43</v>
      </c>
      <c r="C81" s="9" t="s">
        <v>44</v>
      </c>
      <c r="D81" s="9" t="s">
        <v>45</v>
      </c>
      <c r="E81" s="9" t="s">
        <v>46</v>
      </c>
      <c r="F81" s="9" t="s">
        <v>19</v>
      </c>
      <c r="G81" s="9" t="s">
        <v>36</v>
      </c>
      <c r="H81" s="55" t="s">
        <v>48</v>
      </c>
      <c r="I81" s="55" t="s">
        <v>49</v>
      </c>
      <c r="J81" s="56" t="s">
        <v>101</v>
      </c>
      <c r="K81" s="9" t="s">
        <v>47</v>
      </c>
    </row>
    <row r="82" spans="1:11" x14ac:dyDescent="0.55000000000000004">
      <c r="A82" s="64">
        <v>1</v>
      </c>
      <c r="B82" s="13" t="s">
        <v>184</v>
      </c>
      <c r="C82" s="63"/>
      <c r="D82" s="13" t="s">
        <v>185</v>
      </c>
      <c r="E82" s="13" t="s">
        <v>208</v>
      </c>
      <c r="F82" s="13"/>
      <c r="G82" s="13" t="s">
        <v>169</v>
      </c>
      <c r="H82" s="64" t="s">
        <v>14</v>
      </c>
      <c r="I82" s="64" t="s">
        <v>14</v>
      </c>
      <c r="J82" s="64"/>
      <c r="K82" s="13" t="s">
        <v>389</v>
      </c>
    </row>
    <row r="83" spans="1:11" x14ac:dyDescent="0.55000000000000004">
      <c r="A83" s="64">
        <v>2</v>
      </c>
      <c r="B83" s="13" t="s">
        <v>184</v>
      </c>
      <c r="C83" s="63"/>
      <c r="D83" s="62" t="s">
        <v>259</v>
      </c>
      <c r="E83" s="62" t="s">
        <v>259</v>
      </c>
      <c r="G83" s="92" t="s">
        <v>163</v>
      </c>
      <c r="H83" s="64" t="s">
        <v>14</v>
      </c>
      <c r="I83" s="64" t="s">
        <v>14</v>
      </c>
      <c r="J83" s="64"/>
      <c r="K83" s="13"/>
    </row>
    <row r="84" spans="1:11" x14ac:dyDescent="0.55000000000000004">
      <c r="A84" s="64">
        <v>3</v>
      </c>
      <c r="B84" s="13" t="s">
        <v>184</v>
      </c>
      <c r="C84" s="63"/>
      <c r="D84" s="13" t="s">
        <v>251</v>
      </c>
      <c r="E84" s="13" t="s">
        <v>251</v>
      </c>
      <c r="F84" s="13"/>
      <c r="G84" s="13" t="s">
        <v>169</v>
      </c>
      <c r="H84" s="64" t="s">
        <v>14</v>
      </c>
      <c r="I84" s="64" t="s">
        <v>14</v>
      </c>
      <c r="J84" s="64"/>
      <c r="K84" s="13" t="s">
        <v>396</v>
      </c>
    </row>
    <row r="85" spans="1:11" x14ac:dyDescent="0.55000000000000004">
      <c r="A85" s="64">
        <v>4</v>
      </c>
      <c r="B85" s="13" t="s">
        <v>184</v>
      </c>
      <c r="C85" s="63"/>
      <c r="D85" s="13" t="s">
        <v>43</v>
      </c>
      <c r="E85" s="13" t="s">
        <v>43</v>
      </c>
      <c r="F85" s="13"/>
      <c r="G85" s="13" t="s">
        <v>169</v>
      </c>
      <c r="H85" s="64" t="s">
        <v>14</v>
      </c>
      <c r="I85" s="64" t="s">
        <v>14</v>
      </c>
      <c r="J85" s="64"/>
      <c r="K85" s="13"/>
    </row>
    <row r="86" spans="1:11" x14ac:dyDescent="0.55000000000000004">
      <c r="A86" s="64">
        <v>5</v>
      </c>
      <c r="B86" s="13" t="s">
        <v>184</v>
      </c>
      <c r="C86" s="63"/>
      <c r="D86" s="62" t="s">
        <v>178</v>
      </c>
      <c r="E86" s="62" t="s">
        <v>178</v>
      </c>
      <c r="G86" s="13" t="s">
        <v>169</v>
      </c>
      <c r="H86" s="64" t="s">
        <v>14</v>
      </c>
      <c r="I86" s="64" t="s">
        <v>14</v>
      </c>
      <c r="J86" s="64"/>
      <c r="K86" s="13"/>
    </row>
    <row r="87" spans="1:11" x14ac:dyDescent="0.55000000000000004">
      <c r="A87" s="64">
        <v>6</v>
      </c>
      <c r="B87" s="13" t="s">
        <v>255</v>
      </c>
      <c r="C87" s="63"/>
      <c r="D87" s="62" t="s">
        <v>187</v>
      </c>
      <c r="E87" s="62" t="s">
        <v>187</v>
      </c>
      <c r="G87" s="13" t="s">
        <v>51</v>
      </c>
      <c r="H87" s="64" t="s">
        <v>14</v>
      </c>
      <c r="I87" s="64" t="s">
        <v>15</v>
      </c>
      <c r="J87" s="64"/>
      <c r="K87" s="13"/>
    </row>
    <row r="88" spans="1:11" x14ac:dyDescent="0.55000000000000004">
      <c r="A88" s="64">
        <v>7</v>
      </c>
      <c r="B88" s="13" t="s">
        <v>255</v>
      </c>
      <c r="C88" s="63"/>
      <c r="D88" s="62" t="s">
        <v>254</v>
      </c>
      <c r="E88" s="62" t="s">
        <v>407</v>
      </c>
      <c r="G88" s="13" t="s">
        <v>169</v>
      </c>
      <c r="H88" s="64" t="s">
        <v>14</v>
      </c>
      <c r="I88" s="64" t="s">
        <v>15</v>
      </c>
      <c r="J88" s="64"/>
      <c r="K88" s="13" t="s">
        <v>408</v>
      </c>
    </row>
    <row r="89" spans="1:11" x14ac:dyDescent="0.55000000000000004">
      <c r="A89" s="64">
        <v>8</v>
      </c>
      <c r="B89" s="13" t="s">
        <v>255</v>
      </c>
      <c r="C89" s="63"/>
      <c r="D89" s="62" t="s">
        <v>3</v>
      </c>
      <c r="E89" s="62" t="s">
        <v>3</v>
      </c>
      <c r="G89" s="13" t="s">
        <v>52</v>
      </c>
      <c r="H89" s="64" t="s">
        <v>14</v>
      </c>
      <c r="I89" s="64" t="s">
        <v>15</v>
      </c>
      <c r="J89" s="64"/>
      <c r="K89" s="13"/>
    </row>
    <row r="90" spans="1:11" x14ac:dyDescent="0.55000000000000004">
      <c r="A90" s="64">
        <v>9</v>
      </c>
      <c r="B90" s="13" t="s">
        <v>258</v>
      </c>
      <c r="C90" s="63"/>
      <c r="D90" s="62" t="s">
        <v>256</v>
      </c>
      <c r="E90" s="62" t="s">
        <v>256</v>
      </c>
      <c r="G90" s="92" t="s">
        <v>52</v>
      </c>
      <c r="H90" s="64" t="s">
        <v>14</v>
      </c>
      <c r="I90" s="64" t="s">
        <v>15</v>
      </c>
      <c r="J90" s="64"/>
      <c r="K90" s="13"/>
    </row>
    <row r="91" spans="1:11" x14ac:dyDescent="0.55000000000000004">
      <c r="A91" s="64">
        <v>10</v>
      </c>
      <c r="B91" s="13" t="s">
        <v>258</v>
      </c>
      <c r="C91" s="63"/>
      <c r="D91" s="62" t="s">
        <v>257</v>
      </c>
      <c r="E91" s="62" t="s">
        <v>265</v>
      </c>
      <c r="G91" s="13" t="s">
        <v>51</v>
      </c>
      <c r="H91" s="64" t="s">
        <v>14</v>
      </c>
      <c r="I91" s="64" t="s">
        <v>15</v>
      </c>
      <c r="J91" s="64"/>
      <c r="K91" s="13"/>
    </row>
    <row r="92" spans="1:11" x14ac:dyDescent="0.55000000000000004">
      <c r="A92" s="94">
        <v>11</v>
      </c>
      <c r="B92" s="93"/>
      <c r="C92" s="95"/>
      <c r="D92" s="96"/>
      <c r="E92" s="96" t="s">
        <v>453</v>
      </c>
      <c r="F92" s="96"/>
      <c r="G92" s="162"/>
      <c r="H92" s="64"/>
      <c r="I92" s="94"/>
      <c r="J92" s="94"/>
      <c r="K92" s="93"/>
    </row>
    <row r="93" spans="1:11" x14ac:dyDescent="0.55000000000000004">
      <c r="A93" s="94">
        <v>12</v>
      </c>
      <c r="B93" s="93"/>
      <c r="C93" s="95"/>
      <c r="D93" s="96"/>
      <c r="E93" s="96" t="s">
        <v>454</v>
      </c>
      <c r="F93" s="96"/>
      <c r="G93" s="162"/>
      <c r="H93" s="64"/>
      <c r="I93" s="94"/>
      <c r="J93" s="94"/>
      <c r="K93" s="93"/>
    </row>
    <row r="94" spans="1:11" x14ac:dyDescent="0.55000000000000004">
      <c r="A94" s="64">
        <v>13</v>
      </c>
      <c r="B94" s="13"/>
      <c r="C94" s="63"/>
      <c r="E94" s="62" t="s">
        <v>250</v>
      </c>
      <c r="F94" s="62" t="s">
        <v>455</v>
      </c>
      <c r="G94" s="92" t="s">
        <v>169</v>
      </c>
      <c r="H94" s="64"/>
      <c r="I94" s="64"/>
      <c r="J94" s="64"/>
      <c r="K94" s="13" t="s">
        <v>405</v>
      </c>
    </row>
    <row r="95" spans="1:11" x14ac:dyDescent="0.55000000000000004">
      <c r="A95" s="64">
        <v>14</v>
      </c>
      <c r="B95" s="13"/>
      <c r="C95" s="63"/>
      <c r="E95" s="62" t="s">
        <v>257</v>
      </c>
      <c r="F95" s="62" t="s">
        <v>455</v>
      </c>
      <c r="G95" s="92"/>
      <c r="H95" s="64"/>
      <c r="I95" s="64"/>
      <c r="J95" s="64"/>
      <c r="K95" s="13"/>
    </row>
    <row r="96" spans="1:11" x14ac:dyDescent="0.55000000000000004">
      <c r="A96" s="64">
        <v>15</v>
      </c>
      <c r="B96" s="13"/>
      <c r="C96" s="63"/>
      <c r="E96" s="62" t="s">
        <v>409</v>
      </c>
      <c r="F96" s="62" t="s">
        <v>455</v>
      </c>
      <c r="G96" s="92"/>
      <c r="H96" s="64"/>
      <c r="I96" s="64"/>
      <c r="J96" s="64"/>
      <c r="K96" s="13"/>
    </row>
    <row r="97" spans="1:11" x14ac:dyDescent="0.55000000000000004">
      <c r="A97" s="64">
        <v>16</v>
      </c>
      <c r="B97" s="13"/>
      <c r="C97" s="63"/>
      <c r="E97" s="62" t="s">
        <v>410</v>
      </c>
      <c r="F97" s="62" t="s">
        <v>455</v>
      </c>
      <c r="G97" s="92" t="s">
        <v>169</v>
      </c>
      <c r="I97" s="64"/>
      <c r="J97" s="64"/>
      <c r="K97" s="13" t="s">
        <v>411</v>
      </c>
    </row>
    <row r="99" spans="1:11" ht="27" x14ac:dyDescent="0.55000000000000004">
      <c r="A99" s="66" t="s">
        <v>260</v>
      </c>
      <c r="B99" s="58"/>
      <c r="C99" s="59"/>
      <c r="D99" s="59"/>
      <c r="E99" s="28"/>
      <c r="F99" s="59"/>
      <c r="G99" s="59"/>
      <c r="H99" s="59"/>
      <c r="I99" s="59"/>
      <c r="J99" s="59"/>
      <c r="K99" s="59"/>
    </row>
    <row r="100" spans="1:11" ht="55.5" x14ac:dyDescent="0.55000000000000004">
      <c r="A100" s="9" t="s">
        <v>37</v>
      </c>
      <c r="B100" s="9" t="s">
        <v>43</v>
      </c>
      <c r="C100" s="9" t="s">
        <v>44</v>
      </c>
      <c r="D100" s="9" t="s">
        <v>45</v>
      </c>
      <c r="E100" s="9" t="s">
        <v>46</v>
      </c>
      <c r="F100" s="9" t="s">
        <v>19</v>
      </c>
      <c r="G100" s="9" t="s">
        <v>36</v>
      </c>
      <c r="H100" s="55" t="s">
        <v>48</v>
      </c>
      <c r="I100" s="55" t="s">
        <v>49</v>
      </c>
      <c r="J100" s="56" t="s">
        <v>101</v>
      </c>
      <c r="K100" s="9" t="s">
        <v>47</v>
      </c>
    </row>
    <row r="101" spans="1:11" x14ac:dyDescent="0.55000000000000004">
      <c r="A101" s="64">
        <v>1</v>
      </c>
      <c r="B101" s="13" t="s">
        <v>184</v>
      </c>
      <c r="C101" s="63"/>
      <c r="D101" s="13" t="s">
        <v>185</v>
      </c>
      <c r="E101" s="13" t="s">
        <v>208</v>
      </c>
      <c r="F101" s="13"/>
      <c r="G101" s="13" t="s">
        <v>169</v>
      </c>
      <c r="H101" s="64"/>
      <c r="I101" s="64" t="s">
        <v>14</v>
      </c>
      <c r="J101" s="64"/>
      <c r="K101" s="13" t="s">
        <v>389</v>
      </c>
    </row>
    <row r="102" spans="1:11" x14ac:dyDescent="0.55000000000000004">
      <c r="A102" s="64">
        <v>2</v>
      </c>
      <c r="B102" s="13" t="s">
        <v>184</v>
      </c>
      <c r="C102" s="63"/>
      <c r="D102" s="62" t="s">
        <v>259</v>
      </c>
      <c r="E102" s="62" t="s">
        <v>413</v>
      </c>
      <c r="G102" s="92" t="s">
        <v>163</v>
      </c>
      <c r="H102" s="64"/>
      <c r="I102" s="64" t="s">
        <v>14</v>
      </c>
      <c r="J102" s="64"/>
      <c r="K102" s="13"/>
    </row>
    <row r="103" spans="1:11" x14ac:dyDescent="0.55000000000000004">
      <c r="A103" s="64">
        <v>3</v>
      </c>
      <c r="B103" s="13" t="s">
        <v>184</v>
      </c>
      <c r="C103" s="63"/>
      <c r="D103" s="13" t="s">
        <v>251</v>
      </c>
      <c r="E103" s="13" t="s">
        <v>251</v>
      </c>
      <c r="F103" s="13"/>
      <c r="G103" s="13" t="s">
        <v>169</v>
      </c>
      <c r="H103" s="64"/>
      <c r="I103" s="64" t="s">
        <v>14</v>
      </c>
      <c r="J103" s="64"/>
      <c r="K103" s="13" t="s">
        <v>396</v>
      </c>
    </row>
    <row r="104" spans="1:11" x14ac:dyDescent="0.55000000000000004">
      <c r="A104" s="64">
        <v>4</v>
      </c>
      <c r="B104" s="13" t="s">
        <v>184</v>
      </c>
      <c r="C104" s="63"/>
      <c r="D104" s="13" t="s">
        <v>43</v>
      </c>
      <c r="E104" s="13" t="s">
        <v>43</v>
      </c>
      <c r="F104" s="13"/>
      <c r="G104" s="13" t="s">
        <v>169</v>
      </c>
      <c r="H104" s="64"/>
      <c r="I104" s="64" t="s">
        <v>14</v>
      </c>
      <c r="J104" s="64"/>
      <c r="K104" s="13"/>
    </row>
    <row r="105" spans="1:11" x14ac:dyDescent="0.55000000000000004">
      <c r="A105" s="64">
        <v>5</v>
      </c>
      <c r="B105" s="13" t="s">
        <v>255</v>
      </c>
      <c r="C105" s="63"/>
      <c r="D105" s="62" t="s">
        <v>187</v>
      </c>
      <c r="E105" s="62" t="s">
        <v>205</v>
      </c>
      <c r="G105" s="13" t="s">
        <v>51</v>
      </c>
      <c r="H105" s="64" t="s">
        <v>14</v>
      </c>
      <c r="I105" s="64"/>
      <c r="J105" s="64"/>
      <c r="K105" s="13"/>
    </row>
    <row r="106" spans="1:11" x14ac:dyDescent="0.55000000000000004">
      <c r="A106" s="64">
        <v>6</v>
      </c>
      <c r="B106" s="13" t="s">
        <v>255</v>
      </c>
      <c r="C106" s="63"/>
      <c r="D106" s="62" t="s">
        <v>254</v>
      </c>
      <c r="E106" s="62" t="s">
        <v>407</v>
      </c>
      <c r="G106" s="13" t="s">
        <v>169</v>
      </c>
      <c r="H106" s="64" t="s">
        <v>14</v>
      </c>
      <c r="I106" s="64"/>
      <c r="J106" s="64"/>
      <c r="K106" s="13" t="s">
        <v>408</v>
      </c>
    </row>
    <row r="107" spans="1:11" x14ac:dyDescent="0.55000000000000004">
      <c r="A107" s="64">
        <v>7</v>
      </c>
      <c r="B107" s="13" t="s">
        <v>255</v>
      </c>
      <c r="C107" s="63"/>
      <c r="D107" s="62" t="s">
        <v>3</v>
      </c>
      <c r="E107" s="62" t="s">
        <v>3</v>
      </c>
      <c r="G107" s="13" t="s">
        <v>52</v>
      </c>
      <c r="H107" s="64" t="s">
        <v>14</v>
      </c>
      <c r="I107" s="64"/>
      <c r="J107" s="64"/>
      <c r="K107" s="13"/>
    </row>
    <row r="108" spans="1:11" x14ac:dyDescent="0.55000000000000004">
      <c r="A108" s="64">
        <v>8</v>
      </c>
      <c r="B108" s="13" t="s">
        <v>258</v>
      </c>
      <c r="C108" s="63"/>
      <c r="E108" s="62" t="s">
        <v>412</v>
      </c>
      <c r="G108" s="13" t="s">
        <v>108</v>
      </c>
      <c r="H108" s="64" t="s">
        <v>14</v>
      </c>
      <c r="I108" s="64"/>
      <c r="J108" s="64"/>
      <c r="K108" s="13"/>
    </row>
    <row r="109" spans="1:11" x14ac:dyDescent="0.55000000000000004">
      <c r="A109" s="64">
        <v>9</v>
      </c>
      <c r="B109" s="13" t="s">
        <v>258</v>
      </c>
      <c r="C109" s="63"/>
      <c r="D109" s="62" t="s">
        <v>262</v>
      </c>
      <c r="E109" s="62" t="s">
        <v>429</v>
      </c>
      <c r="G109" s="92" t="s">
        <v>51</v>
      </c>
      <c r="H109" s="64" t="s">
        <v>15</v>
      </c>
      <c r="I109" s="64"/>
      <c r="J109" s="64"/>
      <c r="K109" s="13" t="s">
        <v>465</v>
      </c>
    </row>
    <row r="110" spans="1:11" x14ac:dyDescent="0.55000000000000004">
      <c r="A110" s="64">
        <v>10</v>
      </c>
      <c r="B110" s="13" t="s">
        <v>258</v>
      </c>
      <c r="C110" s="63"/>
      <c r="D110" s="62" t="s">
        <v>263</v>
      </c>
      <c r="E110" s="62" t="s">
        <v>263</v>
      </c>
      <c r="G110" s="92" t="s">
        <v>51</v>
      </c>
      <c r="H110" s="64" t="s">
        <v>15</v>
      </c>
      <c r="I110" s="64"/>
      <c r="J110" s="64"/>
      <c r="K110" s="13" t="s">
        <v>466</v>
      </c>
    </row>
    <row r="111" spans="1:11" x14ac:dyDescent="0.55000000000000004">
      <c r="A111" s="64">
        <v>11</v>
      </c>
      <c r="B111" s="13" t="s">
        <v>258</v>
      </c>
      <c r="C111" s="63"/>
      <c r="D111" s="62" t="s">
        <v>264</v>
      </c>
      <c r="E111" s="62" t="s">
        <v>415</v>
      </c>
      <c r="G111" s="92" t="s">
        <v>52</v>
      </c>
      <c r="H111" s="64" t="s">
        <v>15</v>
      </c>
      <c r="I111" s="64"/>
      <c r="J111" s="64"/>
      <c r="K111" s="13" t="s">
        <v>466</v>
      </c>
    </row>
    <row r="112" spans="1:11" x14ac:dyDescent="0.55000000000000004">
      <c r="A112" s="64">
        <v>12</v>
      </c>
      <c r="B112" s="13" t="s">
        <v>258</v>
      </c>
      <c r="C112" s="63"/>
      <c r="D112" s="62" t="s">
        <v>265</v>
      </c>
      <c r="E112" s="62" t="s">
        <v>265</v>
      </c>
      <c r="G112" s="99" t="s">
        <v>51</v>
      </c>
      <c r="H112" s="64" t="s">
        <v>15</v>
      </c>
      <c r="I112" s="64"/>
      <c r="J112" s="64"/>
      <c r="K112" s="13" t="s">
        <v>466</v>
      </c>
    </row>
    <row r="113" spans="1:11" x14ac:dyDescent="0.55000000000000004">
      <c r="A113" s="94">
        <v>13</v>
      </c>
      <c r="B113" s="93"/>
      <c r="C113" s="95"/>
      <c r="D113" s="96"/>
      <c r="E113" s="96" t="s">
        <v>453</v>
      </c>
      <c r="F113" s="96"/>
      <c r="G113" s="97"/>
      <c r="H113" s="64"/>
      <c r="I113" s="94"/>
      <c r="J113" s="94"/>
      <c r="K113" s="93"/>
    </row>
    <row r="114" spans="1:11" x14ac:dyDescent="0.55000000000000004">
      <c r="A114" s="64">
        <v>14</v>
      </c>
      <c r="B114" s="13"/>
      <c r="C114" s="63"/>
      <c r="E114" s="62" t="s">
        <v>414</v>
      </c>
      <c r="F114" s="62" t="s">
        <v>455</v>
      </c>
      <c r="G114" s="99" t="s">
        <v>169</v>
      </c>
      <c r="H114" s="64"/>
      <c r="I114" s="64"/>
      <c r="J114" s="64"/>
      <c r="K114" s="13" t="s">
        <v>417</v>
      </c>
    </row>
    <row r="115" spans="1:11" x14ac:dyDescent="0.55000000000000004">
      <c r="A115" s="64">
        <v>15</v>
      </c>
      <c r="B115" s="13"/>
      <c r="C115" s="63"/>
      <c r="E115" s="62" t="s">
        <v>416</v>
      </c>
      <c r="F115" s="62" t="s">
        <v>455</v>
      </c>
      <c r="G115" s="99" t="s">
        <v>51</v>
      </c>
      <c r="H115" s="64"/>
      <c r="I115" s="64"/>
      <c r="J115" s="64"/>
      <c r="K115" s="13"/>
    </row>
    <row r="116" spans="1:11" x14ac:dyDescent="0.55000000000000004">
      <c r="A116" s="64">
        <v>16</v>
      </c>
      <c r="B116" s="13"/>
      <c r="C116" s="63"/>
      <c r="E116" s="62" t="s">
        <v>188</v>
      </c>
      <c r="F116" s="62" t="s">
        <v>455</v>
      </c>
      <c r="G116" s="99" t="s">
        <v>51</v>
      </c>
      <c r="H116" s="64"/>
      <c r="I116" s="64"/>
      <c r="J116" s="64"/>
      <c r="K116" s="13" t="s">
        <v>383</v>
      </c>
    </row>
    <row r="117" spans="1:11" x14ac:dyDescent="0.55000000000000004">
      <c r="B117" s="13"/>
      <c r="C117" s="63"/>
      <c r="G117" s="99"/>
      <c r="H117" s="64"/>
      <c r="I117" s="64"/>
      <c r="J117" s="64"/>
      <c r="K117" s="13"/>
    </row>
    <row r="118" spans="1:11" x14ac:dyDescent="0.55000000000000004">
      <c r="B118" s="13"/>
      <c r="C118" s="63"/>
      <c r="G118" s="99"/>
      <c r="H118" s="64"/>
      <c r="I118" s="64"/>
      <c r="J118" s="64"/>
      <c r="K118" s="13"/>
    </row>
    <row r="119" spans="1:11" s="59" customFormat="1" ht="27" x14ac:dyDescent="0.55000000000000004">
      <c r="A119" s="28" t="s">
        <v>267</v>
      </c>
    </row>
    <row r="120" spans="1:11" ht="55.5" x14ac:dyDescent="0.55000000000000004">
      <c r="A120" s="9" t="s">
        <v>37</v>
      </c>
      <c r="B120" s="9" t="s">
        <v>43</v>
      </c>
      <c r="C120" s="9" t="s">
        <v>44</v>
      </c>
      <c r="D120" s="9" t="s">
        <v>45</v>
      </c>
      <c r="E120" s="9" t="s">
        <v>46</v>
      </c>
      <c r="F120" s="9" t="s">
        <v>19</v>
      </c>
      <c r="G120" s="9" t="s">
        <v>36</v>
      </c>
      <c r="H120" s="55" t="s">
        <v>48</v>
      </c>
      <c r="I120" s="55" t="s">
        <v>49</v>
      </c>
      <c r="J120" s="56" t="s">
        <v>101</v>
      </c>
      <c r="K120" s="9" t="s">
        <v>47</v>
      </c>
    </row>
    <row r="121" spans="1:11" x14ac:dyDescent="0.55000000000000004">
      <c r="A121" s="64">
        <v>1</v>
      </c>
      <c r="B121" s="13"/>
      <c r="C121" s="63"/>
      <c r="D121" s="13" t="s">
        <v>186</v>
      </c>
      <c r="E121" s="13" t="s">
        <v>186</v>
      </c>
      <c r="F121" s="13"/>
      <c r="G121" s="13" t="s">
        <v>163</v>
      </c>
      <c r="H121" s="64" t="s">
        <v>14</v>
      </c>
      <c r="I121" s="64" t="s">
        <v>14</v>
      </c>
      <c r="J121" s="64"/>
      <c r="K121" s="13"/>
    </row>
    <row r="122" spans="1:11" x14ac:dyDescent="0.55000000000000004">
      <c r="A122" s="64">
        <v>2</v>
      </c>
      <c r="B122" s="13"/>
      <c r="C122" s="63"/>
      <c r="D122" s="62" t="s">
        <v>182</v>
      </c>
      <c r="E122" s="62" t="s">
        <v>335</v>
      </c>
      <c r="G122" s="13" t="s">
        <v>58</v>
      </c>
      <c r="H122" s="64" t="s">
        <v>14</v>
      </c>
      <c r="I122" s="64" t="s">
        <v>14</v>
      </c>
      <c r="J122" s="64"/>
      <c r="K122" s="13" t="s">
        <v>395</v>
      </c>
    </row>
    <row r="123" spans="1:11" x14ac:dyDescent="0.55000000000000004">
      <c r="A123" s="64">
        <v>3</v>
      </c>
      <c r="B123" s="13"/>
      <c r="C123" s="63"/>
      <c r="D123" s="62" t="s">
        <v>189</v>
      </c>
      <c r="E123" s="62" t="s">
        <v>177</v>
      </c>
      <c r="G123" s="92" t="s">
        <v>51</v>
      </c>
      <c r="H123" s="64" t="s">
        <v>14</v>
      </c>
      <c r="I123" s="64" t="s">
        <v>15</v>
      </c>
      <c r="J123" s="64"/>
      <c r="K123" s="57"/>
    </row>
    <row r="124" spans="1:11" x14ac:dyDescent="0.55000000000000004">
      <c r="A124" s="64">
        <v>4</v>
      </c>
      <c r="B124" s="13"/>
      <c r="C124" s="63"/>
      <c r="D124" s="62" t="s">
        <v>206</v>
      </c>
      <c r="E124" s="62" t="s">
        <v>178</v>
      </c>
      <c r="G124" s="92" t="s">
        <v>51</v>
      </c>
      <c r="H124" s="64" t="s">
        <v>14</v>
      </c>
      <c r="I124" s="64" t="s">
        <v>15</v>
      </c>
      <c r="J124" s="64"/>
      <c r="K124" s="57"/>
    </row>
    <row r="125" spans="1:11" x14ac:dyDescent="0.55000000000000004">
      <c r="A125" s="64">
        <v>5</v>
      </c>
      <c r="B125" s="13"/>
      <c r="C125" s="63"/>
      <c r="D125" s="62" t="s">
        <v>181</v>
      </c>
      <c r="E125" s="62" t="s">
        <v>179</v>
      </c>
      <c r="G125" s="13" t="s">
        <v>58</v>
      </c>
      <c r="H125" s="64" t="s">
        <v>14</v>
      </c>
      <c r="I125" s="64" t="s">
        <v>15</v>
      </c>
      <c r="J125" s="64"/>
      <c r="K125" s="13" t="s">
        <v>435</v>
      </c>
    </row>
    <row r="126" spans="1:11" x14ac:dyDescent="0.55000000000000004">
      <c r="A126" s="64">
        <v>6</v>
      </c>
      <c r="B126" s="13"/>
      <c r="C126" s="63"/>
      <c r="D126" s="62" t="s">
        <v>185</v>
      </c>
      <c r="E126" s="62" t="s">
        <v>434</v>
      </c>
      <c r="G126" s="13" t="s">
        <v>169</v>
      </c>
      <c r="H126" s="64" t="s">
        <v>14</v>
      </c>
      <c r="I126" s="64" t="s">
        <v>15</v>
      </c>
      <c r="J126" s="64"/>
      <c r="K126" s="13" t="s">
        <v>437</v>
      </c>
    </row>
    <row r="127" spans="1:11" x14ac:dyDescent="0.55000000000000004">
      <c r="A127" s="64">
        <v>7</v>
      </c>
      <c r="B127" s="13"/>
      <c r="C127" s="63"/>
      <c r="D127" s="13" t="s">
        <v>205</v>
      </c>
      <c r="E127" s="62" t="s">
        <v>432</v>
      </c>
      <c r="G127" s="92" t="s">
        <v>58</v>
      </c>
      <c r="H127" s="64" t="s">
        <v>14</v>
      </c>
      <c r="I127" s="64" t="s">
        <v>15</v>
      </c>
      <c r="J127" s="64"/>
      <c r="K127" s="57" t="s">
        <v>464</v>
      </c>
    </row>
    <row r="128" spans="1:11" x14ac:dyDescent="0.55000000000000004">
      <c r="A128" s="64">
        <v>8</v>
      </c>
      <c r="B128" s="13"/>
      <c r="C128" s="63"/>
      <c r="D128" s="13" t="s">
        <v>206</v>
      </c>
      <c r="E128" s="62" t="s">
        <v>180</v>
      </c>
      <c r="G128" s="92" t="s">
        <v>108</v>
      </c>
      <c r="H128" s="64" t="s">
        <v>15</v>
      </c>
      <c r="I128" s="64" t="s">
        <v>15</v>
      </c>
      <c r="J128" s="64"/>
      <c r="K128" s="13"/>
    </row>
    <row r="129" spans="1:11" x14ac:dyDescent="0.55000000000000004">
      <c r="A129" s="64">
        <v>8</v>
      </c>
      <c r="B129" s="13"/>
      <c r="C129" s="63"/>
      <c r="E129" s="62" t="s">
        <v>399</v>
      </c>
      <c r="G129" s="92" t="s">
        <v>108</v>
      </c>
      <c r="H129" s="64" t="s">
        <v>15</v>
      </c>
      <c r="I129" s="64" t="s">
        <v>15</v>
      </c>
      <c r="J129" s="64"/>
      <c r="K129" s="13"/>
    </row>
    <row r="130" spans="1:11" x14ac:dyDescent="0.55000000000000004">
      <c r="A130" s="64">
        <v>10</v>
      </c>
      <c r="B130" s="13"/>
      <c r="C130" s="63"/>
      <c r="E130" s="62" t="s">
        <v>182</v>
      </c>
      <c r="G130" s="92" t="s">
        <v>108</v>
      </c>
      <c r="H130" s="64" t="s">
        <v>15</v>
      </c>
      <c r="I130" s="64" t="s">
        <v>15</v>
      </c>
      <c r="J130" s="64"/>
      <c r="K130" s="13"/>
    </row>
    <row r="131" spans="1:11" x14ac:dyDescent="0.55000000000000004">
      <c r="A131" s="64">
        <v>11</v>
      </c>
      <c r="B131" s="13"/>
      <c r="C131" s="63"/>
      <c r="D131" s="62" t="s">
        <v>180</v>
      </c>
      <c r="E131" s="62" t="s">
        <v>183</v>
      </c>
      <c r="G131" s="92" t="s">
        <v>167</v>
      </c>
      <c r="H131" s="64" t="s">
        <v>14</v>
      </c>
      <c r="I131" s="64" t="s">
        <v>15</v>
      </c>
      <c r="J131" s="64"/>
      <c r="K131" s="13"/>
    </row>
    <row r="132" spans="1:11" x14ac:dyDescent="0.55000000000000004">
      <c r="A132" s="64">
        <v>12</v>
      </c>
      <c r="B132" s="13"/>
      <c r="C132" s="63"/>
      <c r="D132" s="62" t="s">
        <v>206</v>
      </c>
      <c r="E132" s="62" t="s">
        <v>185</v>
      </c>
      <c r="G132" s="92" t="s">
        <v>169</v>
      </c>
      <c r="H132" s="64" t="s">
        <v>15</v>
      </c>
      <c r="I132" s="64" t="s">
        <v>15</v>
      </c>
      <c r="J132" s="64"/>
      <c r="K132" s="13" t="s">
        <v>463</v>
      </c>
    </row>
    <row r="133" spans="1:11" x14ac:dyDescent="0.55000000000000004">
      <c r="A133" s="64">
        <v>13</v>
      </c>
      <c r="B133" s="13"/>
      <c r="C133" s="63"/>
      <c r="E133" s="62" t="s">
        <v>433</v>
      </c>
      <c r="F133" s="62" t="s">
        <v>455</v>
      </c>
      <c r="G133" s="92" t="s">
        <v>169</v>
      </c>
      <c r="H133" s="64"/>
      <c r="I133" s="64"/>
      <c r="J133" s="64"/>
      <c r="K133" s="13" t="s">
        <v>436</v>
      </c>
    </row>
    <row r="134" spans="1:11" x14ac:dyDescent="0.55000000000000004">
      <c r="A134" s="62"/>
    </row>
    <row r="135" spans="1:11" ht="36" customHeight="1" x14ac:dyDescent="0.55000000000000004">
      <c r="A135" s="66" t="s">
        <v>268</v>
      </c>
      <c r="B135" s="58"/>
      <c r="C135" s="59"/>
      <c r="D135" s="59"/>
      <c r="E135" s="28"/>
      <c r="F135" s="59"/>
      <c r="G135" s="59"/>
      <c r="H135" s="59"/>
      <c r="I135" s="59"/>
      <c r="J135" s="59"/>
      <c r="K135" s="59"/>
    </row>
    <row r="136" spans="1:11" ht="55.5" x14ac:dyDescent="0.55000000000000004">
      <c r="A136" s="9" t="s">
        <v>37</v>
      </c>
      <c r="B136" s="9" t="s">
        <v>43</v>
      </c>
      <c r="C136" s="9" t="s">
        <v>44</v>
      </c>
      <c r="D136" s="9" t="s">
        <v>45</v>
      </c>
      <c r="E136" s="9" t="s">
        <v>46</v>
      </c>
      <c r="F136" s="9" t="s">
        <v>19</v>
      </c>
      <c r="G136" s="9" t="s">
        <v>36</v>
      </c>
      <c r="H136" s="55" t="s">
        <v>48</v>
      </c>
      <c r="I136" s="55" t="s">
        <v>49</v>
      </c>
      <c r="J136" s="56" t="s">
        <v>101</v>
      </c>
      <c r="K136" s="9" t="s">
        <v>47</v>
      </c>
    </row>
    <row r="137" spans="1:11" x14ac:dyDescent="0.55000000000000004">
      <c r="A137" s="64">
        <v>1</v>
      </c>
      <c r="B137" s="13"/>
      <c r="C137" s="63"/>
      <c r="D137" s="13" t="s">
        <v>186</v>
      </c>
      <c r="E137" s="13" t="s">
        <v>186</v>
      </c>
      <c r="F137" s="13"/>
      <c r="G137" s="13" t="s">
        <v>163</v>
      </c>
      <c r="H137" s="64" t="s">
        <v>14</v>
      </c>
      <c r="I137" s="64" t="s">
        <v>14</v>
      </c>
      <c r="J137" s="64"/>
      <c r="K137" s="13"/>
    </row>
    <row r="138" spans="1:11" x14ac:dyDescent="0.55000000000000004">
      <c r="A138" s="64">
        <v>2</v>
      </c>
      <c r="B138" s="13"/>
      <c r="C138" s="63"/>
      <c r="D138" s="62" t="s">
        <v>189</v>
      </c>
      <c r="E138" s="62" t="s">
        <v>335</v>
      </c>
      <c r="G138" s="13" t="s">
        <v>58</v>
      </c>
      <c r="H138" s="64" t="s">
        <v>14</v>
      </c>
      <c r="I138" s="64" t="s">
        <v>14</v>
      </c>
      <c r="J138" s="64"/>
      <c r="K138" s="13" t="s">
        <v>395</v>
      </c>
    </row>
    <row r="139" spans="1:11" x14ac:dyDescent="0.55000000000000004">
      <c r="A139" s="64">
        <v>3</v>
      </c>
      <c r="B139" s="13"/>
      <c r="C139" s="63"/>
      <c r="D139" s="62" t="s">
        <v>181</v>
      </c>
      <c r="E139" s="62" t="s">
        <v>187</v>
      </c>
      <c r="G139" s="13" t="s">
        <v>108</v>
      </c>
      <c r="H139" s="64" t="s">
        <v>14</v>
      </c>
      <c r="I139" s="64" t="s">
        <v>15</v>
      </c>
      <c r="J139" s="64"/>
      <c r="K139" s="13"/>
    </row>
    <row r="140" spans="1:11" x14ac:dyDescent="0.55000000000000004">
      <c r="A140" s="64">
        <v>4</v>
      </c>
      <c r="B140" s="13"/>
      <c r="C140" s="63"/>
      <c r="E140" s="62" t="s">
        <v>188</v>
      </c>
      <c r="G140" s="92" t="s">
        <v>58</v>
      </c>
      <c r="H140" s="64" t="s">
        <v>14</v>
      </c>
      <c r="I140" s="64" t="s">
        <v>15</v>
      </c>
      <c r="J140" s="64"/>
      <c r="K140" s="13" t="s">
        <v>448</v>
      </c>
    </row>
    <row r="141" spans="1:11" x14ac:dyDescent="0.55000000000000004">
      <c r="A141" s="64">
        <v>5</v>
      </c>
      <c r="B141" s="13"/>
      <c r="C141" s="63"/>
      <c r="D141" s="62" t="s">
        <v>206</v>
      </c>
      <c r="E141" s="62" t="s">
        <v>179</v>
      </c>
      <c r="G141" s="92" t="s">
        <v>58</v>
      </c>
      <c r="H141" s="64" t="s">
        <v>14</v>
      </c>
      <c r="I141" s="64" t="s">
        <v>15</v>
      </c>
      <c r="J141" s="64"/>
      <c r="K141" s="13" t="s">
        <v>435</v>
      </c>
    </row>
    <row r="142" spans="1:11" x14ac:dyDescent="0.55000000000000004">
      <c r="A142" s="64">
        <v>6</v>
      </c>
      <c r="B142" s="13"/>
      <c r="C142" s="63"/>
      <c r="D142" s="62" t="s">
        <v>185</v>
      </c>
      <c r="E142" s="62" t="s">
        <v>434</v>
      </c>
      <c r="G142" s="92" t="s">
        <v>169</v>
      </c>
      <c r="H142" s="64" t="s">
        <v>14</v>
      </c>
      <c r="I142" s="64" t="s">
        <v>15</v>
      </c>
      <c r="J142" s="64"/>
      <c r="K142" s="13" t="s">
        <v>437</v>
      </c>
    </row>
    <row r="143" spans="1:11" x14ac:dyDescent="0.55000000000000004">
      <c r="A143" s="64">
        <v>7</v>
      </c>
      <c r="B143" s="13"/>
      <c r="C143" s="63"/>
      <c r="D143" s="13" t="s">
        <v>205</v>
      </c>
      <c r="E143" s="62" t="s">
        <v>432</v>
      </c>
      <c r="G143" s="92" t="s">
        <v>58</v>
      </c>
      <c r="H143" s="64" t="s">
        <v>14</v>
      </c>
      <c r="I143" s="64" t="s">
        <v>15</v>
      </c>
      <c r="J143" s="64"/>
      <c r="K143" s="57" t="s">
        <v>464</v>
      </c>
    </row>
    <row r="144" spans="1:11" x14ac:dyDescent="0.55000000000000004">
      <c r="A144" s="64">
        <v>8</v>
      </c>
      <c r="B144" s="13"/>
      <c r="C144" s="63"/>
      <c r="D144" s="13" t="s">
        <v>206</v>
      </c>
      <c r="E144" s="62" t="s">
        <v>180</v>
      </c>
      <c r="G144" s="92" t="s">
        <v>108</v>
      </c>
      <c r="H144" s="64" t="s">
        <v>15</v>
      </c>
      <c r="I144" s="64" t="s">
        <v>15</v>
      </c>
      <c r="J144" s="64"/>
      <c r="K144" s="13"/>
    </row>
    <row r="145" spans="1:11" x14ac:dyDescent="0.55000000000000004">
      <c r="A145" s="64">
        <v>9</v>
      </c>
      <c r="B145" s="13"/>
      <c r="C145" s="63"/>
      <c r="D145" s="62" t="s">
        <v>180</v>
      </c>
      <c r="E145" s="62" t="s">
        <v>399</v>
      </c>
      <c r="G145" s="92" t="s">
        <v>108</v>
      </c>
      <c r="H145" s="64" t="s">
        <v>15</v>
      </c>
      <c r="I145" s="64" t="s">
        <v>15</v>
      </c>
      <c r="J145" s="64"/>
      <c r="K145" s="13"/>
    </row>
    <row r="146" spans="1:11" x14ac:dyDescent="0.55000000000000004">
      <c r="A146" s="64">
        <v>10</v>
      </c>
      <c r="B146" s="13"/>
      <c r="C146" s="63"/>
      <c r="E146" s="62" t="s">
        <v>438</v>
      </c>
      <c r="G146" s="13" t="s">
        <v>169</v>
      </c>
      <c r="H146" s="64" t="s">
        <v>15</v>
      </c>
      <c r="I146" s="64" t="s">
        <v>15</v>
      </c>
      <c r="J146" s="64"/>
      <c r="K146" s="13" t="s">
        <v>408</v>
      </c>
    </row>
    <row r="147" spans="1:11" x14ac:dyDescent="0.55000000000000004">
      <c r="A147" s="64">
        <v>11</v>
      </c>
      <c r="B147" s="13"/>
      <c r="C147" s="63"/>
      <c r="D147" s="62" t="s">
        <v>182</v>
      </c>
      <c r="E147" s="62" t="s">
        <v>87</v>
      </c>
      <c r="G147" s="92" t="s">
        <v>106</v>
      </c>
      <c r="H147" s="64" t="s">
        <v>15</v>
      </c>
      <c r="I147" s="64" t="s">
        <v>15</v>
      </c>
      <c r="J147" s="64"/>
      <c r="K147" s="13"/>
    </row>
    <row r="148" spans="1:11" x14ac:dyDescent="0.55000000000000004">
      <c r="A148" s="64">
        <v>12</v>
      </c>
      <c r="B148" s="13"/>
      <c r="C148" s="63"/>
      <c r="D148" s="62" t="s">
        <v>206</v>
      </c>
      <c r="E148" s="62" t="s">
        <v>185</v>
      </c>
      <c r="G148" s="92" t="s">
        <v>169</v>
      </c>
      <c r="H148" s="64" t="s">
        <v>15</v>
      </c>
      <c r="I148" s="64" t="s">
        <v>15</v>
      </c>
      <c r="J148" s="64"/>
      <c r="K148" s="13" t="s">
        <v>463</v>
      </c>
    </row>
    <row r="149" spans="1:11" x14ac:dyDescent="0.55000000000000004">
      <c r="A149" s="64">
        <v>13</v>
      </c>
      <c r="B149" s="13"/>
      <c r="C149" s="63"/>
      <c r="E149" s="62" t="s">
        <v>182</v>
      </c>
      <c r="G149" s="92" t="s">
        <v>108</v>
      </c>
      <c r="H149" s="64"/>
      <c r="I149" s="64"/>
      <c r="J149" s="64"/>
      <c r="K149" s="13"/>
    </row>
    <row r="150" spans="1:11" x14ac:dyDescent="0.55000000000000004">
      <c r="A150" s="64">
        <v>14</v>
      </c>
      <c r="B150" s="13"/>
      <c r="C150" s="63"/>
      <c r="D150" s="62" t="s">
        <v>185</v>
      </c>
      <c r="E150" s="62" t="s">
        <v>433</v>
      </c>
      <c r="F150" s="62" t="s">
        <v>455</v>
      </c>
      <c r="G150" s="13" t="s">
        <v>169</v>
      </c>
      <c r="H150" s="64"/>
      <c r="I150" s="64"/>
      <c r="J150" s="64"/>
      <c r="K150" s="13"/>
    </row>
    <row r="151" spans="1:11" x14ac:dyDescent="0.55000000000000004">
      <c r="B151" s="13"/>
      <c r="C151" s="63"/>
      <c r="G151" s="13"/>
      <c r="H151" s="64"/>
      <c r="I151" s="64"/>
      <c r="J151" s="64"/>
      <c r="K151" s="57"/>
    </row>
    <row r="152" spans="1:11" ht="27" x14ac:dyDescent="0.55000000000000004">
      <c r="A152" s="66" t="s">
        <v>269</v>
      </c>
      <c r="B152" s="58"/>
      <c r="C152" s="59"/>
      <c r="D152" s="59"/>
      <c r="E152" s="28"/>
      <c r="F152" s="59"/>
      <c r="G152" s="59"/>
      <c r="H152" s="59"/>
      <c r="I152" s="59"/>
      <c r="J152" s="59"/>
      <c r="K152" s="59"/>
    </row>
    <row r="153" spans="1:11" ht="55.5" x14ac:dyDescent="0.55000000000000004">
      <c r="A153" s="9" t="s">
        <v>37</v>
      </c>
      <c r="B153" s="9" t="s">
        <v>43</v>
      </c>
      <c r="C153" s="9" t="s">
        <v>44</v>
      </c>
      <c r="D153" s="9" t="s">
        <v>45</v>
      </c>
      <c r="E153" s="9" t="s">
        <v>46</v>
      </c>
      <c r="F153" s="9" t="s">
        <v>19</v>
      </c>
      <c r="G153" s="9" t="s">
        <v>36</v>
      </c>
      <c r="H153" s="55" t="s">
        <v>48</v>
      </c>
      <c r="I153" s="55" t="s">
        <v>49</v>
      </c>
      <c r="J153" s="56" t="s">
        <v>101</v>
      </c>
      <c r="K153" s="9" t="s">
        <v>47</v>
      </c>
    </row>
    <row r="154" spans="1:11" x14ac:dyDescent="0.55000000000000004">
      <c r="A154" s="64">
        <v>1</v>
      </c>
      <c r="B154" s="13"/>
      <c r="C154" s="63"/>
      <c r="D154" s="13" t="s">
        <v>186</v>
      </c>
      <c r="E154" s="13" t="s">
        <v>186</v>
      </c>
      <c r="F154" s="13"/>
      <c r="G154" s="13" t="s">
        <v>163</v>
      </c>
      <c r="H154" s="64" t="s">
        <v>14</v>
      </c>
      <c r="I154" s="64" t="s">
        <v>14</v>
      </c>
      <c r="J154" s="64"/>
      <c r="K154" s="13"/>
    </row>
    <row r="155" spans="1:11" x14ac:dyDescent="0.55000000000000004">
      <c r="A155" s="64">
        <v>2</v>
      </c>
      <c r="B155" s="13"/>
      <c r="C155" s="63"/>
      <c r="D155" s="62" t="s">
        <v>182</v>
      </c>
      <c r="E155" s="62" t="s">
        <v>335</v>
      </c>
      <c r="G155" s="13" t="s">
        <v>58</v>
      </c>
      <c r="H155" s="64" t="s">
        <v>14</v>
      </c>
      <c r="I155" s="64" t="s">
        <v>14</v>
      </c>
      <c r="J155" s="64"/>
      <c r="K155" s="13" t="s">
        <v>395</v>
      </c>
    </row>
    <row r="156" spans="1:11" x14ac:dyDescent="0.55000000000000004">
      <c r="A156" s="64">
        <v>3</v>
      </c>
      <c r="B156" s="13"/>
      <c r="C156" s="63"/>
      <c r="D156" s="13" t="s">
        <v>205</v>
      </c>
      <c r="E156" s="13" t="s">
        <v>205</v>
      </c>
      <c r="F156" s="13"/>
      <c r="G156" s="13" t="s">
        <v>51</v>
      </c>
      <c r="H156" s="64" t="s">
        <v>14</v>
      </c>
      <c r="I156" s="64" t="s">
        <v>15</v>
      </c>
      <c r="J156" s="64"/>
      <c r="K156" s="13"/>
    </row>
    <row r="157" spans="1:11" x14ac:dyDescent="0.55000000000000004">
      <c r="A157" s="64">
        <v>4</v>
      </c>
      <c r="B157" s="13"/>
      <c r="C157" s="63"/>
      <c r="D157" s="13" t="s">
        <v>206</v>
      </c>
      <c r="E157" s="13" t="s">
        <v>206</v>
      </c>
      <c r="F157" s="13"/>
      <c r="G157" s="13" t="s">
        <v>58</v>
      </c>
      <c r="H157" s="64" t="s">
        <v>14</v>
      </c>
      <c r="I157" s="64" t="s">
        <v>15</v>
      </c>
      <c r="J157" s="64"/>
      <c r="K157" s="13" t="s">
        <v>383</v>
      </c>
    </row>
    <row r="158" spans="1:11" x14ac:dyDescent="0.55000000000000004">
      <c r="A158" s="64">
        <v>5</v>
      </c>
      <c r="B158" s="13"/>
      <c r="C158" s="63"/>
      <c r="D158" s="62" t="s">
        <v>181</v>
      </c>
      <c r="E158" s="62" t="s">
        <v>179</v>
      </c>
      <c r="G158" s="13" t="s">
        <v>58</v>
      </c>
      <c r="H158" s="64" t="s">
        <v>14</v>
      </c>
      <c r="I158" s="64" t="s">
        <v>15</v>
      </c>
      <c r="J158" s="64"/>
      <c r="K158" s="13" t="s">
        <v>435</v>
      </c>
    </row>
    <row r="159" spans="1:11" x14ac:dyDescent="0.55000000000000004">
      <c r="A159" s="64">
        <v>6</v>
      </c>
      <c r="B159" s="13"/>
      <c r="C159" s="63"/>
      <c r="D159" s="62" t="s">
        <v>185</v>
      </c>
      <c r="E159" s="62" t="s">
        <v>434</v>
      </c>
      <c r="G159" s="13" t="s">
        <v>169</v>
      </c>
      <c r="H159" s="64" t="s">
        <v>14</v>
      </c>
      <c r="I159" s="64" t="s">
        <v>15</v>
      </c>
      <c r="J159" s="64"/>
      <c r="K159" s="13" t="s">
        <v>437</v>
      </c>
    </row>
    <row r="160" spans="1:11" x14ac:dyDescent="0.55000000000000004">
      <c r="A160" s="64">
        <v>7</v>
      </c>
      <c r="B160" s="13"/>
      <c r="C160" s="63"/>
      <c r="D160" s="62" t="s">
        <v>189</v>
      </c>
      <c r="E160" s="62" t="s">
        <v>432</v>
      </c>
      <c r="G160" s="13" t="s">
        <v>58</v>
      </c>
      <c r="H160" s="64" t="s">
        <v>14</v>
      </c>
      <c r="I160" s="64" t="s">
        <v>15</v>
      </c>
      <c r="J160" s="64"/>
      <c r="K160" s="57" t="s">
        <v>464</v>
      </c>
    </row>
    <row r="161" spans="1:11" x14ac:dyDescent="0.55000000000000004">
      <c r="A161" s="64">
        <v>8</v>
      </c>
      <c r="B161" s="13"/>
      <c r="C161" s="63"/>
      <c r="D161" s="62" t="s">
        <v>180</v>
      </c>
      <c r="E161" s="62" t="s">
        <v>180</v>
      </c>
      <c r="G161" s="13" t="s">
        <v>108</v>
      </c>
      <c r="H161" s="64" t="s">
        <v>15</v>
      </c>
      <c r="I161" s="64" t="s">
        <v>15</v>
      </c>
      <c r="J161" s="64"/>
      <c r="K161" s="13"/>
    </row>
    <row r="162" spans="1:11" x14ac:dyDescent="0.55000000000000004">
      <c r="A162" s="64">
        <v>9</v>
      </c>
      <c r="B162" s="13"/>
      <c r="C162" s="63"/>
      <c r="E162" s="62" t="s">
        <v>399</v>
      </c>
      <c r="G162" s="13" t="s">
        <v>108</v>
      </c>
      <c r="H162" s="64" t="s">
        <v>15</v>
      </c>
      <c r="I162" s="64" t="s">
        <v>15</v>
      </c>
      <c r="J162" s="64"/>
      <c r="K162" s="13"/>
    </row>
    <row r="163" spans="1:11" x14ac:dyDescent="0.55000000000000004">
      <c r="A163" s="64">
        <v>10</v>
      </c>
      <c r="B163" s="13"/>
      <c r="C163" s="63"/>
      <c r="E163" s="62" t="s">
        <v>182</v>
      </c>
      <c r="G163" s="92" t="s">
        <v>108</v>
      </c>
      <c r="H163" s="64" t="s">
        <v>15</v>
      </c>
      <c r="I163" s="64" t="s">
        <v>15</v>
      </c>
      <c r="J163" s="64"/>
      <c r="K163" s="13"/>
    </row>
    <row r="164" spans="1:11" x14ac:dyDescent="0.55000000000000004">
      <c r="A164" s="64">
        <v>11</v>
      </c>
      <c r="B164" s="13"/>
      <c r="C164" s="63"/>
      <c r="D164" s="13" t="s">
        <v>206</v>
      </c>
      <c r="E164" s="13" t="s">
        <v>431</v>
      </c>
      <c r="F164" s="13"/>
      <c r="G164" s="92" t="s">
        <v>169</v>
      </c>
      <c r="H164" s="64" t="s">
        <v>15</v>
      </c>
      <c r="I164" s="64" t="s">
        <v>15</v>
      </c>
      <c r="J164" s="64"/>
      <c r="K164" s="13" t="s">
        <v>408</v>
      </c>
    </row>
    <row r="165" spans="1:11" x14ac:dyDescent="0.55000000000000004">
      <c r="A165" s="64">
        <v>12</v>
      </c>
      <c r="B165" s="13"/>
      <c r="C165" s="63"/>
      <c r="D165" s="13" t="s">
        <v>206</v>
      </c>
      <c r="E165" s="13" t="s">
        <v>430</v>
      </c>
      <c r="F165" s="13"/>
      <c r="G165" s="92" t="s">
        <v>106</v>
      </c>
      <c r="H165" s="64" t="s">
        <v>15</v>
      </c>
      <c r="I165" s="64" t="s">
        <v>15</v>
      </c>
      <c r="J165" s="64"/>
      <c r="K165" s="13"/>
    </row>
    <row r="166" spans="1:11" x14ac:dyDescent="0.55000000000000004">
      <c r="A166" s="64">
        <v>13</v>
      </c>
      <c r="B166" s="13"/>
      <c r="C166" s="63"/>
      <c r="D166" s="62" t="s">
        <v>185</v>
      </c>
      <c r="E166" s="62" t="s">
        <v>185</v>
      </c>
      <c r="G166" s="92" t="s">
        <v>169</v>
      </c>
      <c r="H166" s="64" t="s">
        <v>15</v>
      </c>
      <c r="I166" s="64" t="s">
        <v>15</v>
      </c>
      <c r="J166" s="64"/>
      <c r="K166" s="13" t="s">
        <v>463</v>
      </c>
    </row>
    <row r="167" spans="1:11" x14ac:dyDescent="0.55000000000000004">
      <c r="A167" s="64">
        <v>14</v>
      </c>
      <c r="B167" s="13"/>
      <c r="C167" s="63"/>
      <c r="E167" s="62" t="s">
        <v>433</v>
      </c>
      <c r="F167" s="62" t="s">
        <v>455</v>
      </c>
      <c r="G167" s="13" t="s">
        <v>169</v>
      </c>
      <c r="H167" s="64"/>
      <c r="I167" s="64"/>
      <c r="J167" s="64"/>
      <c r="K167" s="13" t="s">
        <v>436</v>
      </c>
    </row>
    <row r="169" spans="1:11" x14ac:dyDescent="0.55000000000000004">
      <c r="B169" s="13"/>
      <c r="C169" s="63"/>
      <c r="G169" s="13"/>
      <c r="H169" s="64"/>
      <c r="I169" s="64"/>
      <c r="J169" s="64"/>
      <c r="K169" s="13"/>
    </row>
  </sheetData>
  <dataValidations count="2">
    <dataValidation type="list" allowBlank="1" showInputMessage="1" showErrorMessage="1" sqref="J137:J151 J154:J167 J82:J97 J121:J133 J6:J57 J101:J117 J169" xr:uid="{00000000-0002-0000-0C00-000000000000}">
      <formula1>AddRemove</formula1>
    </dataValidation>
    <dataValidation type="list" allowBlank="1" showInputMessage="1" showErrorMessage="1" sqref="H121:I133 H137:I151 H61:J78 H6:I57 H169:I169 H154:I167 H101:I117 H82:I97" xr:uid="{00000000-0002-0000-0C00-000001000000}">
      <formula1>YesNo</formula1>
    </dataValidation>
  </dataValidations>
  <hyperlinks>
    <hyperlink ref="A1" location="'Cover Sheet'!A1" display="Process Nonconformance Fields" xr:uid="{00000000-0004-0000-0C00-000000000000}"/>
    <hyperlink ref="A135" location="'Cover Sheet'!A1" display="Process Nonconformance Fields" xr:uid="{00000000-0004-0000-0C00-000001000000}"/>
    <hyperlink ref="A152" location="'Cover Sheet'!A1" display="Process Nonconformance Fields" xr:uid="{00000000-0004-0000-0C00-000002000000}"/>
    <hyperlink ref="A4" location="'Cover Sheet'!A1" display="Process Nonconformance Fields" xr:uid="{00000000-0004-0000-0C00-000003000000}"/>
    <hyperlink ref="A59" location="'Cover Sheet'!A1" display="Process Nonconformance Fields" xr:uid="{00000000-0004-0000-0C00-000004000000}"/>
    <hyperlink ref="A80" location="'Cover Sheet'!A1" display="Process Nonconformance Fields" xr:uid="{00000000-0004-0000-0C00-000005000000}"/>
    <hyperlink ref="A99" location="'Cover Sheet'!A1" display="Process Nonconformance Fields" xr:uid="{00000000-0004-0000-0C00-000006000000}"/>
  </hyperlinks>
  <pageMargins left="0.7" right="0.7" top="0.75" bottom="0.75" header="0.3" footer="0.3"/>
  <pageSetup orientation="portrait" r:id="rId1"/>
  <tableParts count="7">
    <tablePart r:id="rId2"/>
    <tablePart r:id="rId3"/>
    <tablePart r:id="rId4"/>
    <tablePart r:id="rId5"/>
    <tablePart r:id="rId6"/>
    <tablePart r:id="rId7"/>
    <tablePart r:id="rId8"/>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2000000}">
          <x14:formula1>
            <xm:f>'ILX Hidden'!$B$43:$B$62</xm:f>
          </x14:formula1>
          <xm:sqref>G137:G151 G154:G167 G121:G133 G61:G78 G82:G97 G6:G57 G101:G117 G169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1"/>
  </sheetPr>
  <dimension ref="A1:G96"/>
  <sheetViews>
    <sheetView topLeftCell="A29" workbookViewId="0">
      <selection activeCell="B58" sqref="B58"/>
    </sheetView>
  </sheetViews>
  <sheetFormatPr defaultRowHeight="14.4" x14ac:dyDescent="0.55000000000000004"/>
  <cols>
    <col min="1" max="1" width="20.1015625" customWidth="1"/>
    <col min="2" max="2" width="35.5234375" bestFit="1" customWidth="1"/>
    <col min="3" max="3" width="28.41796875" customWidth="1"/>
  </cols>
  <sheetData>
    <row r="1" spans="1:2" ht="27" x14ac:dyDescent="0.85">
      <c r="A1" s="23" t="s">
        <v>86</v>
      </c>
      <c r="B1" s="23"/>
    </row>
    <row r="2" spans="1:2" s="4" customFormat="1" ht="27" customHeight="1" x14ac:dyDescent="0.55000000000000004">
      <c r="A2" s="60" t="s">
        <v>162</v>
      </c>
    </row>
    <row r="4" spans="1:2" x14ac:dyDescent="0.55000000000000004">
      <c r="A4" s="40" t="s">
        <v>123</v>
      </c>
      <c r="B4" t="s">
        <v>155</v>
      </c>
    </row>
    <row r="5" spans="1:2" x14ac:dyDescent="0.55000000000000004">
      <c r="A5" s="40" t="s">
        <v>131</v>
      </c>
      <c r="B5" s="82" t="s">
        <v>124</v>
      </c>
    </row>
    <row r="6" spans="1:2" x14ac:dyDescent="0.55000000000000004">
      <c r="A6" s="40"/>
    </row>
    <row r="7" spans="1:2" x14ac:dyDescent="0.55000000000000004">
      <c r="A7" s="40"/>
      <c r="B7" s="83" t="s">
        <v>108</v>
      </c>
    </row>
    <row r="8" spans="1:2" x14ac:dyDescent="0.55000000000000004">
      <c r="A8" s="40"/>
      <c r="B8" s="81" t="s">
        <v>14</v>
      </c>
    </row>
    <row r="9" spans="1:2" x14ac:dyDescent="0.55000000000000004">
      <c r="B9" s="81" t="s">
        <v>15</v>
      </c>
    </row>
    <row r="11" spans="1:2" x14ac:dyDescent="0.55000000000000004">
      <c r="A11" s="40" t="s">
        <v>123</v>
      </c>
      <c r="B11" t="s">
        <v>67</v>
      </c>
    </row>
    <row r="12" spans="1:2" x14ac:dyDescent="0.55000000000000004">
      <c r="A12" s="40" t="s">
        <v>131</v>
      </c>
      <c r="B12" s="82" t="s">
        <v>125</v>
      </c>
    </row>
    <row r="14" spans="1:2" x14ac:dyDescent="0.55000000000000004">
      <c r="B14" s="83" t="s">
        <v>87</v>
      </c>
    </row>
    <row r="15" spans="1:2" x14ac:dyDescent="0.55000000000000004">
      <c r="B15" s="81" t="s">
        <v>69</v>
      </c>
    </row>
    <row r="16" spans="1:2" x14ac:dyDescent="0.55000000000000004">
      <c r="B16" s="81" t="s">
        <v>71</v>
      </c>
    </row>
    <row r="17" spans="1:3" x14ac:dyDescent="0.55000000000000004">
      <c r="B17" s="81" t="s">
        <v>72</v>
      </c>
    </row>
    <row r="19" spans="1:3" x14ac:dyDescent="0.55000000000000004">
      <c r="A19" s="40" t="s">
        <v>123</v>
      </c>
      <c r="B19" t="s">
        <v>18</v>
      </c>
    </row>
    <row r="20" spans="1:3" x14ac:dyDescent="0.55000000000000004">
      <c r="A20" s="40" t="s">
        <v>131</v>
      </c>
      <c r="B20" s="82" t="s">
        <v>126</v>
      </c>
      <c r="C20" s="82" t="s">
        <v>127</v>
      </c>
    </row>
    <row r="22" spans="1:3" x14ac:dyDescent="0.55000000000000004">
      <c r="B22" s="83" t="s">
        <v>89</v>
      </c>
      <c r="C22" s="83" t="s">
        <v>92</v>
      </c>
    </row>
    <row r="23" spans="1:3" x14ac:dyDescent="0.55000000000000004">
      <c r="B23" s="81" t="s">
        <v>40</v>
      </c>
      <c r="C23" s="81" t="s">
        <v>38</v>
      </c>
    </row>
    <row r="24" spans="1:3" x14ac:dyDescent="0.55000000000000004">
      <c r="B24" s="81" t="s">
        <v>90</v>
      </c>
      <c r="C24" s="81" t="s">
        <v>93</v>
      </c>
    </row>
    <row r="27" spans="1:3" x14ac:dyDescent="0.55000000000000004">
      <c r="A27" s="40" t="s">
        <v>123</v>
      </c>
      <c r="B27" t="s">
        <v>17</v>
      </c>
    </row>
    <row r="28" spans="1:3" x14ac:dyDescent="0.55000000000000004">
      <c r="A28" s="40" t="s">
        <v>131</v>
      </c>
      <c r="B28" s="82" t="s">
        <v>128</v>
      </c>
    </row>
    <row r="30" spans="1:3" x14ac:dyDescent="0.55000000000000004">
      <c r="B30" s="84" t="s">
        <v>94</v>
      </c>
    </row>
    <row r="31" spans="1:3" x14ac:dyDescent="0.55000000000000004">
      <c r="B31" s="81" t="s">
        <v>91</v>
      </c>
    </row>
    <row r="32" spans="1:3" x14ac:dyDescent="0.55000000000000004">
      <c r="B32" s="81" t="s">
        <v>95</v>
      </c>
    </row>
    <row r="33" spans="1:3" x14ac:dyDescent="0.55000000000000004">
      <c r="B33" s="81" t="s">
        <v>96</v>
      </c>
    </row>
    <row r="34" spans="1:3" x14ac:dyDescent="0.55000000000000004">
      <c r="B34" s="81" t="s">
        <v>97</v>
      </c>
    </row>
    <row r="35" spans="1:3" x14ac:dyDescent="0.55000000000000004">
      <c r="B35" s="81" t="s">
        <v>98</v>
      </c>
    </row>
    <row r="36" spans="1:3" x14ac:dyDescent="0.55000000000000004">
      <c r="B36" s="81" t="s">
        <v>99</v>
      </c>
    </row>
    <row r="37" spans="1:3" x14ac:dyDescent="0.55000000000000004">
      <c r="B37" s="81" t="s">
        <v>100</v>
      </c>
    </row>
    <row r="39" spans="1:3" x14ac:dyDescent="0.55000000000000004">
      <c r="A39" s="40" t="s">
        <v>123</v>
      </c>
      <c r="B39" t="s">
        <v>80</v>
      </c>
    </row>
    <row r="40" spans="1:3" x14ac:dyDescent="0.55000000000000004">
      <c r="A40" s="40" t="s">
        <v>131</v>
      </c>
      <c r="B40" s="82" t="s">
        <v>129</v>
      </c>
      <c r="C40" s="82" t="s">
        <v>130</v>
      </c>
    </row>
    <row r="42" spans="1:3" x14ac:dyDescent="0.55000000000000004">
      <c r="B42" s="83" t="s">
        <v>36</v>
      </c>
      <c r="C42" s="83" t="s">
        <v>102</v>
      </c>
    </row>
    <row r="43" spans="1:3" x14ac:dyDescent="0.55000000000000004">
      <c r="B43" s="88" t="s">
        <v>163</v>
      </c>
      <c r="C43" s="81" t="s">
        <v>104</v>
      </c>
    </row>
    <row r="44" spans="1:3" x14ac:dyDescent="0.55000000000000004">
      <c r="B44" s="81" t="s">
        <v>164</v>
      </c>
      <c r="C44" s="81" t="s">
        <v>103</v>
      </c>
    </row>
    <row r="45" spans="1:3" x14ac:dyDescent="0.55000000000000004">
      <c r="B45" s="81" t="s">
        <v>52</v>
      </c>
      <c r="C45" s="81" t="s">
        <v>520</v>
      </c>
    </row>
    <row r="46" spans="1:3" x14ac:dyDescent="0.55000000000000004">
      <c r="B46" s="81" t="s">
        <v>105</v>
      </c>
    </row>
    <row r="47" spans="1:3" x14ac:dyDescent="0.55000000000000004">
      <c r="B47" s="81" t="s">
        <v>53</v>
      </c>
    </row>
    <row r="48" spans="1:3" x14ac:dyDescent="0.55000000000000004">
      <c r="B48" s="81" t="s">
        <v>165</v>
      </c>
    </row>
    <row r="49" spans="2:2" x14ac:dyDescent="0.55000000000000004">
      <c r="B49" s="81" t="s">
        <v>787</v>
      </c>
    </row>
    <row r="50" spans="2:2" x14ac:dyDescent="0.55000000000000004">
      <c r="B50" s="81" t="s">
        <v>166</v>
      </c>
    </row>
    <row r="51" spans="2:2" x14ac:dyDescent="0.55000000000000004">
      <c r="B51" s="81" t="s">
        <v>167</v>
      </c>
    </row>
    <row r="52" spans="2:2" x14ac:dyDescent="0.55000000000000004">
      <c r="B52" s="81" t="s">
        <v>788</v>
      </c>
    </row>
    <row r="53" spans="2:2" x14ac:dyDescent="0.55000000000000004">
      <c r="B53" s="81" t="s">
        <v>789</v>
      </c>
    </row>
    <row r="54" spans="2:2" x14ac:dyDescent="0.55000000000000004">
      <c r="B54" s="81" t="s">
        <v>790</v>
      </c>
    </row>
    <row r="55" spans="2:2" x14ac:dyDescent="0.55000000000000004">
      <c r="B55" s="81" t="s">
        <v>106</v>
      </c>
    </row>
    <row r="56" spans="2:2" x14ac:dyDescent="0.55000000000000004">
      <c r="B56" s="81" t="s">
        <v>168</v>
      </c>
    </row>
    <row r="57" spans="2:2" x14ac:dyDescent="0.55000000000000004">
      <c r="B57" s="81" t="s">
        <v>791</v>
      </c>
    </row>
    <row r="58" spans="2:2" x14ac:dyDescent="0.55000000000000004">
      <c r="B58" s="88" t="s">
        <v>169</v>
      </c>
    </row>
    <row r="59" spans="2:2" x14ac:dyDescent="0.55000000000000004">
      <c r="B59" s="81" t="s">
        <v>51</v>
      </c>
    </row>
    <row r="60" spans="2:2" x14ac:dyDescent="0.55000000000000004">
      <c r="B60" s="81" t="s">
        <v>107</v>
      </c>
    </row>
    <row r="61" spans="2:2" x14ac:dyDescent="0.55000000000000004">
      <c r="B61" s="81" t="s">
        <v>170</v>
      </c>
    </row>
    <row r="62" spans="2:2" x14ac:dyDescent="0.55000000000000004">
      <c r="B62" s="81" t="s">
        <v>108</v>
      </c>
    </row>
    <row r="68" spans="1:7" x14ac:dyDescent="0.55000000000000004">
      <c r="A68" s="40" t="s">
        <v>123</v>
      </c>
      <c r="B68" t="s">
        <v>60</v>
      </c>
    </row>
    <row r="69" spans="1:7" x14ac:dyDescent="0.55000000000000004">
      <c r="A69" s="40" t="s">
        <v>131</v>
      </c>
      <c r="B69" s="82" t="s">
        <v>132</v>
      </c>
    </row>
    <row r="71" spans="1:7" x14ac:dyDescent="0.55000000000000004">
      <c r="B71" s="83" t="s">
        <v>64</v>
      </c>
    </row>
    <row r="72" spans="1:7" x14ac:dyDescent="0.55000000000000004">
      <c r="B72" s="81" t="s">
        <v>133</v>
      </c>
    </row>
    <row r="73" spans="1:7" x14ac:dyDescent="0.55000000000000004">
      <c r="B73" s="81" t="s">
        <v>134</v>
      </c>
    </row>
    <row r="74" spans="1:7" x14ac:dyDescent="0.55000000000000004">
      <c r="B74" s="81" t="s">
        <v>135</v>
      </c>
      <c r="G74" s="88" t="s">
        <v>163</v>
      </c>
    </row>
    <row r="75" spans="1:7" x14ac:dyDescent="0.55000000000000004">
      <c r="B75" s="81" t="s">
        <v>136</v>
      </c>
      <c r="G75" s="81" t="s">
        <v>164</v>
      </c>
    </row>
    <row r="76" spans="1:7" x14ac:dyDescent="0.55000000000000004">
      <c r="B76" s="81" t="s">
        <v>137</v>
      </c>
      <c r="G76" s="81" t="s">
        <v>52</v>
      </c>
    </row>
    <row r="77" spans="1:7" x14ac:dyDescent="0.55000000000000004">
      <c r="B77" s="81" t="s">
        <v>276</v>
      </c>
      <c r="G77" s="81"/>
    </row>
    <row r="78" spans="1:7" x14ac:dyDescent="0.55000000000000004">
      <c r="B78" s="105" t="s">
        <v>277</v>
      </c>
      <c r="G78" s="81"/>
    </row>
    <row r="79" spans="1:7" x14ac:dyDescent="0.55000000000000004">
      <c r="G79" s="81" t="s">
        <v>105</v>
      </c>
    </row>
    <row r="80" spans="1:7" x14ac:dyDescent="0.55000000000000004">
      <c r="A80" s="40" t="s">
        <v>123</v>
      </c>
      <c r="B80" t="s">
        <v>82</v>
      </c>
      <c r="G80" s="81" t="s">
        <v>53</v>
      </c>
    </row>
    <row r="81" spans="1:7" x14ac:dyDescent="0.55000000000000004">
      <c r="A81" s="40" t="s">
        <v>131</v>
      </c>
      <c r="B81" s="82" t="s">
        <v>138</v>
      </c>
      <c r="G81" s="81" t="s">
        <v>165</v>
      </c>
    </row>
    <row r="82" spans="1:7" x14ac:dyDescent="0.55000000000000004">
      <c r="G82" s="81" t="s">
        <v>166</v>
      </c>
    </row>
    <row r="83" spans="1:7" x14ac:dyDescent="0.55000000000000004">
      <c r="B83" s="83" t="s">
        <v>36</v>
      </c>
      <c r="G83" s="81" t="s">
        <v>167</v>
      </c>
    </row>
    <row r="84" spans="1:7" x14ac:dyDescent="0.55000000000000004">
      <c r="B84" s="81" t="s">
        <v>139</v>
      </c>
      <c r="G84" s="81" t="s">
        <v>58</v>
      </c>
    </row>
    <row r="85" spans="1:7" x14ac:dyDescent="0.55000000000000004">
      <c r="B85" s="81" t="s">
        <v>140</v>
      </c>
      <c r="G85" s="81" t="s">
        <v>106</v>
      </c>
    </row>
    <row r="86" spans="1:7" x14ac:dyDescent="0.55000000000000004">
      <c r="G86" s="81" t="s">
        <v>168</v>
      </c>
    </row>
    <row r="87" spans="1:7" x14ac:dyDescent="0.55000000000000004">
      <c r="A87" t="s">
        <v>123</v>
      </c>
      <c r="B87" t="s">
        <v>83</v>
      </c>
      <c r="G87" s="88" t="s">
        <v>169</v>
      </c>
    </row>
    <row r="88" spans="1:7" x14ac:dyDescent="0.55000000000000004">
      <c r="A88" t="s">
        <v>131</v>
      </c>
      <c r="B88" s="82" t="s">
        <v>154</v>
      </c>
      <c r="G88" s="81" t="s">
        <v>51</v>
      </c>
    </row>
    <row r="89" spans="1:7" x14ac:dyDescent="0.55000000000000004">
      <c r="G89" s="81" t="s">
        <v>107</v>
      </c>
    </row>
    <row r="90" spans="1:7" x14ac:dyDescent="0.55000000000000004">
      <c r="B90" s="83" t="s">
        <v>149</v>
      </c>
      <c r="G90" s="81" t="s">
        <v>170</v>
      </c>
    </row>
    <row r="91" spans="1:7" x14ac:dyDescent="0.55000000000000004">
      <c r="B91" s="81" t="s">
        <v>150</v>
      </c>
      <c r="G91" s="81" t="s">
        <v>108</v>
      </c>
    </row>
    <row r="92" spans="1:7" x14ac:dyDescent="0.55000000000000004">
      <c r="B92" s="81" t="s">
        <v>151</v>
      </c>
    </row>
    <row r="93" spans="1:7" x14ac:dyDescent="0.55000000000000004">
      <c r="B93" s="81" t="s">
        <v>152</v>
      </c>
    </row>
    <row r="94" spans="1:7" x14ac:dyDescent="0.55000000000000004">
      <c r="B94" s="81" t="s">
        <v>153</v>
      </c>
    </row>
    <row r="95" spans="1:7" x14ac:dyDescent="0.55000000000000004">
      <c r="B95" s="81" t="s">
        <v>136</v>
      </c>
    </row>
    <row r="96" spans="1:7" x14ac:dyDescent="0.55000000000000004">
      <c r="B96" s="81" t="s">
        <v>135</v>
      </c>
    </row>
  </sheetData>
  <hyperlinks>
    <hyperlink ref="A1" location="'Cover Sheet'!A1" display="Worksheet Lookups" xr:uid="{00000000-0004-0000-0D00-000000000000}"/>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BFB8FDFA3DAB4C83AC6CFB4166A891" ma:contentTypeVersion="22" ma:contentTypeDescription="Create a new document." ma:contentTypeScope="" ma:versionID="041756ac4a9e44d339b58a2141f86c02">
  <xsd:schema xmlns:xsd="http://www.w3.org/2001/XMLSchema" xmlns:xs="http://www.w3.org/2001/XMLSchema" xmlns:p="http://schemas.microsoft.com/office/2006/metadata/properties" xmlns:ns2="80329ca9-173f-4587-a253-15cad130a699" xmlns:ns3="65eeb772-52a6-43f1-b3c0-7159db08b049" targetNamespace="http://schemas.microsoft.com/office/2006/metadata/properties" ma:root="true" ma:fieldsID="47fe46404989f0f7b6643244838d201c" ns2:_="" ns3:_="">
    <xsd:import namespace="80329ca9-173f-4587-a253-15cad130a699"/>
    <xsd:import namespace="65eeb772-52a6-43f1-b3c0-7159db08b049"/>
    <xsd:element name="properties">
      <xsd:complexType>
        <xsd:sequence>
          <xsd:element name="documentManagement">
            <xsd:complexType>
              <xsd:all>
                <xsd:element ref="ns2:Date" minOccurs="0"/>
                <xsd:element ref="ns2:Date_x0020_and_x0020_Time" minOccurs="0"/>
                <xsd:element ref="ns3:SharedWithUsers" minOccurs="0"/>
                <xsd:element ref="ns3:SharedWith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29ca9-173f-4587-a253-15cad130a699" elementFormDefault="qualified">
    <xsd:import namespace="http://schemas.microsoft.com/office/2006/documentManagement/types"/>
    <xsd:import namespace="http://schemas.microsoft.com/office/infopath/2007/PartnerControls"/>
    <xsd:element name="Date" ma:index="4" nillable="true" ma:displayName="Date" ma:format="DateOnly" ma:internalName="Date" ma:readOnly="false">
      <xsd:simpleType>
        <xsd:restriction base="dms:DateTime"/>
      </xsd:simpleType>
    </xsd:element>
    <xsd:element name="Date_x0020_and_x0020_Time" ma:index="6" nillable="true" ma:displayName="Date and Time" ma:format="DateTime" ma:internalName="Date_x0020_and_x0020_Time" ma:readOnly="false">
      <xsd:simpleType>
        <xsd:restriction base="dms:DateTim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1511d-2345-4ee6-88e1-d3859e8dbc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eeb772-52a6-43f1-b3c0-7159db08b049"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5e780d6-ddaf-43ed-8af9-bd2ee707abc2}" ma:internalName="TaxCatchAll" ma:showField="CatchAllData" ma:web="65eeb772-52a6-43f1-b3c0-7159db08b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65eeb772-52a6-43f1-b3c0-7159db08b049">
      <UserInfo>
        <DisplayName/>
        <AccountId xsi:nil="true"/>
        <AccountType/>
      </UserInfo>
    </SharedWithUsers>
    <Date_x0020_and_x0020_Time xmlns="80329ca9-173f-4587-a253-15cad130a699" xsi:nil="true"/>
    <lcf76f155ced4ddcb4097134ff3c332f xmlns="80329ca9-173f-4587-a253-15cad130a699">
      <Terms xmlns="http://schemas.microsoft.com/office/infopath/2007/PartnerControls"/>
    </lcf76f155ced4ddcb4097134ff3c332f>
    <Date xmlns="80329ca9-173f-4587-a253-15cad130a699" xsi:nil="true"/>
    <TaxCatchAll xmlns="65eeb772-52a6-43f1-b3c0-7159db08b049" xsi:nil="true"/>
    <_Flow_SignoffStatus xmlns="80329ca9-173f-4587-a253-15cad130a6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1B9514-41F3-4A6C-BF7F-D7D6A0E05F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29ca9-173f-4587-a253-15cad130a699"/>
    <ds:schemaRef ds:uri="65eeb772-52a6-43f1-b3c0-7159db08b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2531C7-2117-4FDD-97C0-B21A7EACCF24}">
  <ds:schemaRefs>
    <ds:schemaRef ds:uri="http://schemas.microsoft.com/office/2006/metadata/properties"/>
    <ds:schemaRef ds:uri="http://www.w3.org/XML/1998/namespace"/>
    <ds:schemaRef ds:uri="http://purl.org/dc/dcmitype/"/>
    <ds:schemaRef ds:uri="http://schemas.microsoft.com/office/infopath/2007/PartnerControls"/>
    <ds:schemaRef ds:uri="http://schemas.microsoft.com/office/2006/documentManagement/types"/>
    <ds:schemaRef ds:uri="65eeb772-52a6-43f1-b3c0-7159db08b049"/>
    <ds:schemaRef ds:uri="80329ca9-173f-4587-a253-15cad130a699"/>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2D97E5F3-2C55-447E-BC06-CA97812F9CAD}">
  <ds:schemaRefs>
    <ds:schemaRef ds:uri="http://schemas.microsoft.com/sharepoint/v3/contenttype/forms"/>
  </ds:schemaRefs>
</ds:datastoreItem>
</file>

<file path=docMetadata/LabelInfo.xml><?xml version="1.0" encoding="utf-8"?>
<clbl:labelList xmlns:clbl="http://schemas.microsoft.com/office/2020/mipLabelMetadata">
  <clbl:label id="{bd405cd3-134b-4619-9558-2f19af889d19}" enabled="1" method="Standard" siteId="{0f634ac3-b39f-41a6-83ba-8f107876c69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Cover Sheet</vt:lpstr>
      <vt:lpstr>Decisions &amp; Tasks</vt:lpstr>
      <vt:lpstr>Workflow</vt:lpstr>
      <vt:lpstr>Notification Schedules</vt:lpstr>
      <vt:lpstr>Notification Templates</vt:lpstr>
      <vt:lpstr>Location Roles</vt:lpstr>
      <vt:lpstr>Object Model</vt:lpstr>
      <vt:lpstr>Fields</vt:lpstr>
      <vt:lpstr>Lookup Values</vt:lpstr>
      <vt:lpstr>Action Handlers</vt:lpstr>
      <vt:lpstr>Application Tabs</vt:lpstr>
      <vt:lpstr>Security</vt:lpstr>
      <vt:lpstr>ILX Fields</vt:lpstr>
      <vt:lpstr>ILX Hidden</vt:lpstr>
      <vt:lpstr>ActionTriggers</vt:lpstr>
      <vt:lpstr>AddRemove</vt:lpstr>
      <vt:lpstr>LocationBoundOptions</vt:lpstr>
      <vt:lpstr>MembershipTypes</vt:lpstr>
      <vt:lpstr>Permissions</vt:lpstr>
      <vt:lpstr>RoleUses</vt:lpstr>
      <vt:lpstr>TabTypes</vt:lpstr>
      <vt:lpstr>TaskDueDates</vt:lpstr>
      <vt:lpstr>Types</vt:lpstr>
      <vt:lpstr>YesNo</vt:lpstr>
    </vt:vector>
  </TitlesOfParts>
  <Company>Intelex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Shao Wai Ngoi</dc:creator>
  <cp:lastModifiedBy>Callaghan, Iain</cp:lastModifiedBy>
  <dcterms:created xsi:type="dcterms:W3CDTF">2013-12-15T00:53:27Z</dcterms:created>
  <dcterms:modified xsi:type="dcterms:W3CDTF">2026-10-20T09:53:09Z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0x010100C7BFB8FDFA3DAB4C83AC6CFB4166A891</vt:lpwstr>
  </property>
  <property fmtid="{D5CDD505-2E9C-101B-9397-08002B2CF9AE}" pid="3" name="Order">
    <vt:r8>6133600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